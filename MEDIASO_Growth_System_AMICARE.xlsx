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jakubmajka/Library/Mobile Documents/com~apple~CloudDocs/MediaSO/"/>
    </mc:Choice>
  </mc:AlternateContent>
  <xr:revisionPtr revIDLastSave="0" documentId="8_{1F04EE7F-FCA3-0F45-B508-F35517BFD69A}" xr6:coauthVersionLast="47" xr6:coauthVersionMax="47" xr10:uidLastSave="{00000000-0000-0000-0000-000000000000}"/>
  <bookViews>
    <workbookView xWindow="0" yWindow="760" windowWidth="30240" windowHeight="17520" activeTab="2" xr2:uid="{00000000-000D-0000-FFFF-FFFF00000000}"/>
  </bookViews>
  <sheets>
    <sheet name="Instrukcja" sheetId="1" r:id="rId1"/>
    <sheet name="Formularz" sheetId="2" r:id="rId2"/>
    <sheet name="Wyniki" sheetId="3" r:id="rId3"/>
    <sheet name="Rekomendacje" sheetId="4" r:id="rId4"/>
    <sheet name="Wycen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5" l="1"/>
  <c r="B18" i="5"/>
  <c r="B22" i="5" s="1"/>
  <c r="F81" i="2"/>
  <c r="F80" i="2"/>
  <c r="F79" i="2"/>
  <c r="F78" i="2"/>
  <c r="F77" i="2"/>
  <c r="F76" i="2"/>
  <c r="F75" i="2"/>
  <c r="F74" i="2"/>
  <c r="C18" i="3" s="1"/>
  <c r="D18" i="3" s="1"/>
  <c r="E18" i="3" s="1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C13" i="3" s="1"/>
  <c r="D13" i="3" s="1"/>
  <c r="E13" i="3" s="1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C9" i="3" s="1"/>
  <c r="D9" i="3" s="1"/>
  <c r="E9" i="3" s="1"/>
  <c r="F3" i="2"/>
  <c r="F2" i="2"/>
  <c r="C16" i="3" l="1"/>
  <c r="D16" i="3" s="1"/>
  <c r="E16" i="3" s="1"/>
  <c r="C17" i="3"/>
  <c r="D17" i="3" s="1"/>
  <c r="E17" i="3" s="1"/>
  <c r="C15" i="3"/>
  <c r="D15" i="3" s="1"/>
  <c r="E15" i="3" s="1"/>
  <c r="C14" i="3"/>
  <c r="D14" i="3" s="1"/>
  <c r="E14" i="3" s="1"/>
  <c r="C12" i="3"/>
  <c r="D12" i="3" s="1"/>
  <c r="E12" i="3" s="1"/>
  <c r="C11" i="3"/>
  <c r="D11" i="3" s="1"/>
  <c r="E11" i="3" s="1"/>
  <c r="C10" i="3"/>
  <c r="D10" i="3" s="1"/>
  <c r="E10" i="3" s="1"/>
  <c r="B4" i="3"/>
  <c r="B16" i="5" s="1"/>
  <c r="B21" i="5"/>
  <c r="B5" i="3" l="1"/>
  <c r="B17" i="5" s="1"/>
  <c r="B6" i="3"/>
  <c r="B20" i="5"/>
  <c r="B19" i="5"/>
</calcChain>
</file>

<file path=xl/sharedStrings.xml><?xml version="1.0" encoding="utf-8"?>
<sst xmlns="http://schemas.openxmlformats.org/spreadsheetml/2006/main" count="462" uniqueCount="265">
  <si>
    <t>MEDIASO Growth Score™</t>
  </si>
  <si>
    <t>Cel narzędzia</t>
  </si>
  <si>
    <t>Wstępna ocena dojrzałości biznesowej placówki medycznej w skali 0–100 pkt.</t>
  </si>
  <si>
    <t>Jak wypełniać</t>
  </si>
  <si>
    <t>Klient odpowiada w kolumnie E arkusza Formularz, wybierając poziom A–E. Arkusz automatycznie przelicza punkty.</t>
  </si>
  <si>
    <t>Skala odpowiedzi</t>
  </si>
  <si>
    <t>A</t>
  </si>
  <si>
    <t>Brak / nie funkcjonuje / nie mierzymy = 0% punktów</t>
  </si>
  <si>
    <t>B</t>
  </si>
  <si>
    <t>Częściowo / nieregularnie / bez stałego procesu = 25% punktów</t>
  </si>
  <si>
    <t>C</t>
  </si>
  <si>
    <t>Podstawowo wdrożone / działa, ale bez regularnej analizy = 50% punktów</t>
  </si>
  <si>
    <t>D</t>
  </si>
  <si>
    <t>Dobrze wdrożone / regularnie mierzone i wykorzystywane = 75% punktów</t>
  </si>
  <si>
    <t>E</t>
  </si>
  <si>
    <t>W pełni wdrożone / proces opisany, mierzony i optymalizowany = 100% punktów</t>
  </si>
  <si>
    <t>Interpretacja wyniku</t>
  </si>
  <si>
    <t>0–25</t>
  </si>
  <si>
    <t>Bronze: placówka wymaga uporządkowania podstaw.</t>
  </si>
  <si>
    <t>26–50</t>
  </si>
  <si>
    <t>Silver: placówka działa, ale traci dużą część potencjału.</t>
  </si>
  <si>
    <t>51–70</t>
  </si>
  <si>
    <t>Gold: stabilna organizacja z dużą przestrzenią do optymalizacji.</t>
  </si>
  <si>
    <t>71–85</t>
  </si>
  <si>
    <t>Platinum: bardzo dobrze zarządzana placówka.</t>
  </si>
  <si>
    <t>86–100</t>
  </si>
  <si>
    <t>Diamond: organizacja referencyjna, gotowa do skalowania.</t>
  </si>
  <si>
    <t>Zasada handlowa</t>
  </si>
  <si>
    <t>Wynik nie jest oceną jakości leczenia. Dotyczy wyłącznie organizacji, marketingu, procesów, danych i rozwoju biznesowego.</t>
  </si>
  <si>
    <t>Obszar</t>
  </si>
  <si>
    <t>Kod</t>
  </si>
  <si>
    <t>Pytanie</t>
  </si>
  <si>
    <t>Max pkt</t>
  </si>
  <si>
    <t>Odpowiedź A-E</t>
  </si>
  <si>
    <t>Punkty</t>
  </si>
  <si>
    <t>Notatka klienta</t>
  </si>
  <si>
    <t>Notatka konsultanta</t>
  </si>
  <si>
    <t>Strategia i zarządzanie</t>
  </si>
  <si>
    <t>GS-001</t>
  </si>
  <si>
    <t>Czy placówka posiada spisaną strategię rozwoju na najbliższe 12 miesięcy?</t>
  </si>
  <si>
    <t>GS-002</t>
  </si>
  <si>
    <t>Czy strategia zawiera konkretne cele liczbowe, np. przychód, liczba pacjentów, liczba zabiegów?</t>
  </si>
  <si>
    <t>GS-003</t>
  </si>
  <si>
    <t>Czy placówka ma wyznaczone cele kwartalne i osoby odpowiedzialne za ich realizację?</t>
  </si>
  <si>
    <t>GS-004</t>
  </si>
  <si>
    <t>Czy właściciel/zarząd regularnie analizuje wyniki placówki co najmniej raz w miesiącu?</t>
  </si>
  <si>
    <t>GS-005</t>
  </si>
  <si>
    <t>Czy placówka posiada analizę konkurencji i lokalnego rynku?</t>
  </si>
  <si>
    <t>GS-006</t>
  </si>
  <si>
    <t>Czy decyzje o rozwoju nowych usług są podejmowane na podstawie danych, a nie intuicji?</t>
  </si>
  <si>
    <t>GS-007</t>
  </si>
  <si>
    <t>Czy istnieje plan rozwoju oferty medycznej na minimum 6–12 miesięcy?</t>
  </si>
  <si>
    <t>GS-008</t>
  </si>
  <si>
    <t>Czy placówka ma określone kluczowe wskaźniki sukcesu dla zarządu i zespołu?</t>
  </si>
  <si>
    <t>Pozyskiwanie pacjentów</t>
  </si>
  <si>
    <t>GS-009</t>
  </si>
  <si>
    <t>Czy placówka wie, z jakich kanałów pochodzą nowi pacjenci?</t>
  </si>
  <si>
    <t>GS-010</t>
  </si>
  <si>
    <t>Czy placówka mierzy koszt pozyskania pacjenta z reklam lub innych działań?</t>
  </si>
  <si>
    <t>GS-011</t>
  </si>
  <si>
    <t>Czy placówka posiada co najmniej 3 niezależne źródła pozyskiwania pacjentów?</t>
  </si>
  <si>
    <t>GS-012</t>
  </si>
  <si>
    <t>Czy kampanie reklamowe są regularnie optymalizowane na podstawie konwersji?</t>
  </si>
  <si>
    <t>GS-013</t>
  </si>
  <si>
    <t>Czy placówka prowadzi aktywne działania lokalne lub partnerskie?</t>
  </si>
  <si>
    <t>GS-014</t>
  </si>
  <si>
    <t>Czy istnieje proces odzyskiwania pacjentów, którzy nie umówili wizyty po kontakcie?</t>
  </si>
  <si>
    <t>GS-015</t>
  </si>
  <si>
    <t>Czy placówka monitoruje liczbę zapytań z formularzy, telefonu i reklam?</t>
  </si>
  <si>
    <t>GS-016</t>
  </si>
  <si>
    <t>Czy placówka ma strategię zwiększania powrotów pacjentów i wizyt kontrolnych?</t>
  </si>
  <si>
    <t>Rejestracja i obsługa pacjenta</t>
  </si>
  <si>
    <t>GS-017</t>
  </si>
  <si>
    <t>Czy placówka mierzy liczbę odebranych i nieodebranych połączeń?</t>
  </si>
  <si>
    <t>GS-018</t>
  </si>
  <si>
    <t>Czy wszystkie rozmowy rejestracji mają ustalony standard obsługi?</t>
  </si>
  <si>
    <t>GS-019</t>
  </si>
  <si>
    <t>Czy pracownicy rejestracji są regularnie szkoleni ze sprzedaży i obsługi pacjenta?</t>
  </si>
  <si>
    <t>GS-020</t>
  </si>
  <si>
    <t>Czy pacjent otrzymuje jasne potwierdzenie terminu i przygotowania do wizyty/badania?</t>
  </si>
  <si>
    <t>GS-021</t>
  </si>
  <si>
    <t>Czy rejestracja aktywnie proponuje najbliższy możliwy termin zamiast odpowiadać ogólnie?</t>
  </si>
  <si>
    <t>GS-022</t>
  </si>
  <si>
    <t>Czy placówka prowadzi przypomnienia SMS/telefoniczne przed wizytą?</t>
  </si>
  <si>
    <t>GS-023</t>
  </si>
  <si>
    <t>Czy rejestracja potrafi zaproponować usługę dodatkową, pakiet lub konsultację powiązaną?</t>
  </si>
  <si>
    <t>GS-024</t>
  </si>
  <si>
    <t>Czy placówka mierzy konwersję kontaktów na zapisane wizyty?</t>
  </si>
  <si>
    <t>Strona internetowa i UX</t>
  </si>
  <si>
    <t>GS-025</t>
  </si>
  <si>
    <t>Czy strona jasno pokazuje najważniejsze usługi i specjalizacje placówki?</t>
  </si>
  <si>
    <t>GS-026</t>
  </si>
  <si>
    <t>Czy pacjent może łatwo umówić wizytę przez stronę lub wykonać szybki kontakt?</t>
  </si>
  <si>
    <t>GS-027</t>
  </si>
  <si>
    <t>Czy strona działa poprawnie i szybko na telefonie?</t>
  </si>
  <si>
    <t>GS-028</t>
  </si>
  <si>
    <t>Czy każda kluczowa usługa ma osobną podstronę z opisem, ceną i CTA?</t>
  </si>
  <si>
    <t>GS-029</t>
  </si>
  <si>
    <t>Czy strona zawiera elementy budujące zaufanie: lekarze, opinie, zdjęcia, certyfikaty?</t>
  </si>
  <si>
    <t>GS-030</t>
  </si>
  <si>
    <t>Czy strona jest przygotowana pod SEO lokalne?</t>
  </si>
  <si>
    <t>GS-031</t>
  </si>
  <si>
    <t>Czy na stronie są poprawnie wdrożone analityka, tagi i mierzenie konwersji?</t>
  </si>
  <si>
    <t>GS-032</t>
  </si>
  <si>
    <t>Czy treści medyczne są zrozumiałe dla pacjenta i zgodne z etyką komunikacji medycznej?</t>
  </si>
  <si>
    <t>Marketing i marka</t>
  </si>
  <si>
    <t>GS-033</t>
  </si>
  <si>
    <t>Czy placówka posiada spójną identyfikację wizualną?</t>
  </si>
  <si>
    <t>GS-034</t>
  </si>
  <si>
    <t>Czy placówka regularnie publikuje wartościowe treści edukacyjne dla pacjentów?</t>
  </si>
  <si>
    <t>GS-035</t>
  </si>
  <si>
    <t>Czy Google Ads lub Meta Ads mają jasno określone cele i mierzone konwersje?</t>
  </si>
  <si>
    <t>GS-036</t>
  </si>
  <si>
    <t>Czy placówka prowadzi działania SEO minimum raz w miesiącu?</t>
  </si>
  <si>
    <t>GS-037</t>
  </si>
  <si>
    <t>Czy marka lekarzy lub kluczowych specjalistów jest świadomie budowana?</t>
  </si>
  <si>
    <t>GS-038</t>
  </si>
  <si>
    <t>Czy placówka posiada remarketing lub działania do osób, które już odwiedziły stronę?</t>
  </si>
  <si>
    <t>GS-039</t>
  </si>
  <si>
    <t>Czy istnieje kalendarz komunikacji marketingowej na minimum miesiąc do przodu?</t>
  </si>
  <si>
    <t>GS-040</t>
  </si>
  <si>
    <t>Czy marketing jest powiązany z celami biznesowymi placówki?</t>
  </si>
  <si>
    <t>Rentowność usług</t>
  </si>
  <si>
    <t>GS-041</t>
  </si>
  <si>
    <t>Czy placówka zna rentowność poszczególnych usług lub procedur?</t>
  </si>
  <si>
    <t>GS-042</t>
  </si>
  <si>
    <t>Czy placówka zna koszty bezpośrednie wykonania najważniejszych usług?</t>
  </si>
  <si>
    <t>GS-043</t>
  </si>
  <si>
    <t>Czy placówka analizuje rentowność lekarzy/specjalistów?</t>
  </si>
  <si>
    <t>GS-044</t>
  </si>
  <si>
    <t>Czy cennik jest regularnie porównywany z konkurencją i kosztami wewnętrznymi?</t>
  </si>
  <si>
    <t>GS-045</t>
  </si>
  <si>
    <t>Czy placówka wie, które usługi należy promować ze względu na marżę?</t>
  </si>
  <si>
    <t>GS-046</t>
  </si>
  <si>
    <t>Czy decyzje o obniżkach i promocjach są poprzedzone analizą finansową?</t>
  </si>
  <si>
    <t>GS-047</t>
  </si>
  <si>
    <t>Czy placówka mierzy średnią wartość wizyty/pacjenta?</t>
  </si>
  <si>
    <t>GS-048</t>
  </si>
  <si>
    <t>Czy istnieje plan poprawy rentowności najważniejszych usług?</t>
  </si>
  <si>
    <t>Dane i KPI</t>
  </si>
  <si>
    <t>GS-049</t>
  </si>
  <si>
    <t>Czy placówka posiada miesięczny raport zarządczy?</t>
  </si>
  <si>
    <t>GS-050</t>
  </si>
  <si>
    <t>Czy raport obejmuje liczbę pacjentów, przychód i koszty?</t>
  </si>
  <si>
    <t>GS-051</t>
  </si>
  <si>
    <t>Czy raport obejmuje źródła pozyskania pacjentów i koszt pozyskania?</t>
  </si>
  <si>
    <t>GS-052</t>
  </si>
  <si>
    <t>Czy placówka mierzy wykorzystanie gabinetów i grafików lekarzy?</t>
  </si>
  <si>
    <t>GS-053</t>
  </si>
  <si>
    <t>Czy placówka mierzy odwołane i nieodbyte wizyty?</t>
  </si>
  <si>
    <t>GS-054</t>
  </si>
  <si>
    <t>Czy dane z rejestracji, marketingu i finansów są analizowane razem?</t>
  </si>
  <si>
    <t>GS-055</t>
  </si>
  <si>
    <t>Czy właściciel ma dostęp do dashboardu lub arkusza z najważniejszymi KPI?</t>
  </si>
  <si>
    <t>GS-056</t>
  </si>
  <si>
    <t>Czy wnioski z danych są przekładane na konkretne decyzje co miesiąc?</t>
  </si>
  <si>
    <t>Automatyzacja i AI</t>
  </si>
  <si>
    <t>GS-057</t>
  </si>
  <si>
    <t>Czy placówka korzysta z automatycznych SMS/e-maili do pacjentów?</t>
  </si>
  <si>
    <t>GS-058</t>
  </si>
  <si>
    <t>Czy formularze online automatycznie trafiają do systemu/CRM lub rejestracji?</t>
  </si>
  <si>
    <t>GS-059</t>
  </si>
  <si>
    <t>Czy placówka wykorzystuje automatyzacje w obsłudze leadów i przypomnień?</t>
  </si>
  <si>
    <t>GS-060</t>
  </si>
  <si>
    <t>Czy placówka posiada chatbota lub inteligentny formularz kwalifikacji pacjenta?</t>
  </si>
  <si>
    <t>GS-061</t>
  </si>
  <si>
    <t>Czy zespół korzysta z AI do tworzenia treści, raportów lub usprawniania pracy?</t>
  </si>
  <si>
    <t>GS-062</t>
  </si>
  <si>
    <t>Czy procesy administracyjne są częściowo zautomatyzowane?</t>
  </si>
  <si>
    <t>GS-063</t>
  </si>
  <si>
    <t>Czy placówka posiada uporządkowaną bazę kontaktów pacjentów zgodną z RODO?</t>
  </si>
  <si>
    <t>GS-064</t>
  </si>
  <si>
    <t>Czy automatyzacje są monitorowane i mierzone?</t>
  </si>
  <si>
    <t>Opinie i reputacja</t>
  </si>
  <si>
    <t>GS-065</t>
  </si>
  <si>
    <t>Czy placówka aktywnie pozyskuje opinie pacjentów?</t>
  </si>
  <si>
    <t>GS-066</t>
  </si>
  <si>
    <t>Czy średnia ocena Google jest na poziomie co najmniej 4,6?</t>
  </si>
  <si>
    <t>GS-067</t>
  </si>
  <si>
    <t>Czy placówka odpowiada na opinie pozytywne i negatywne?</t>
  </si>
  <si>
    <t>GS-068</t>
  </si>
  <si>
    <t>Czy istnieje procedura reagowania na skargi pacjentów?</t>
  </si>
  <si>
    <t>GS-069</t>
  </si>
  <si>
    <t>Czy opinie są analizowane jako źródło informacji o jakości obsługi?</t>
  </si>
  <si>
    <t>GS-070</t>
  </si>
  <si>
    <t>Czy profile lekarzy i placówki są uzupełnione i spójne w internecie?</t>
  </si>
  <si>
    <t>GS-071</t>
  </si>
  <si>
    <t>Czy placówka posiada materiały pokazujące zespół, lokalizację i standard pracy?</t>
  </si>
  <si>
    <t>GS-072</t>
  </si>
  <si>
    <t>Czy reputacja placówki jest regularnie monitorowana?</t>
  </si>
  <si>
    <t>Skalowalność biznesu</t>
  </si>
  <si>
    <t>GS-073</t>
  </si>
  <si>
    <t>Czy placówka posiada spisane procedury kluczowych procesów?</t>
  </si>
  <si>
    <t>GS-074</t>
  </si>
  <si>
    <t>Czy wdrożenie nowego pracownika odbywa się według określonego schematu?</t>
  </si>
  <si>
    <t>GS-075</t>
  </si>
  <si>
    <t>Czy właściciel może delegować większość zadań operacyjnych?</t>
  </si>
  <si>
    <t>GS-076</t>
  </si>
  <si>
    <t>Czy placówka jest przygotowana do zwiększenia liczby pacjentów bez chaosu organizacyjnego?</t>
  </si>
  <si>
    <t>GS-077</t>
  </si>
  <si>
    <t>Czy placówka posiada plan rekrutacji i rozwoju zespołu?</t>
  </si>
  <si>
    <t>GS-078</t>
  </si>
  <si>
    <t>Czy procesy są powtarzalne między lekarzami/lokalizacjami?</t>
  </si>
  <si>
    <t>GS-079</t>
  </si>
  <si>
    <t>Czy istnieje możliwość otwarcia kolejnej lokalizacji w oparciu o obecny model?</t>
  </si>
  <si>
    <t>GS-080</t>
  </si>
  <si>
    <t>Czy placówka posiada jasny model zarządzania odpowiedzialnościami?</t>
  </si>
  <si>
    <t>MEDIASO Growth Score™ - wynik</t>
  </si>
  <si>
    <t>Nazwa klienta</t>
  </si>
  <si>
    <t>Data audytu</t>
  </si>
  <si>
    <t>2026-07-08</t>
  </si>
  <si>
    <t>Wynik łączny</t>
  </si>
  <si>
    <t>Poziom</t>
  </si>
  <si>
    <t>Status</t>
  </si>
  <si>
    <t>Wynik</t>
  </si>
  <si>
    <t>% realizacji</t>
  </si>
  <si>
    <t>Priorytet</t>
  </si>
  <si>
    <t>Jeśli wynik &lt;40%</t>
  </si>
  <si>
    <t>Jeśli wynik 40–70%</t>
  </si>
  <si>
    <t>Jeśli wynik &gt;70%</t>
  </si>
  <si>
    <t>Proponowany moduł MEDIASO</t>
  </si>
  <si>
    <t>Pilne: uporządkować podstawy w obszarze strategia i zarządzanie i wdrożyć minimalny proces.</t>
  </si>
  <si>
    <t>Rozwinąć proces, dodać regularny pomiar i odpowiedzialność za wynik.</t>
  </si>
  <si>
    <t>Utrzymać standard, testować usprawnienia i skalować najlepsze praktyki.</t>
  </si>
  <si>
    <t>Audyt 360° + strategia 12 miesięcy</t>
  </si>
  <si>
    <t>Pilne: uporządkować podstawy w obszarze pozyskiwanie pacjentów i wdrożyć minimalny proces.</t>
  </si>
  <si>
    <t>Growth Marketing + analiza źródeł pacjentów</t>
  </si>
  <si>
    <t>Pilne: uporządkować podstawy w obszarze rejestracja i obsługa pacjenta i wdrożyć minimalny proces.</t>
  </si>
  <si>
    <t>Audyt rejestracji + szkolenie zespołu</t>
  </si>
  <si>
    <t>Pilne: uporządkować podstawy w obszarze strona internetowa i ux i wdrożyć minimalny proces.</t>
  </si>
  <si>
    <t>Nowa strona / optymalizacja UX i konwersji</t>
  </si>
  <si>
    <t>Pilne: uporządkować podstawy w obszarze marketing i marka i wdrożyć minimalny proces.</t>
  </si>
  <si>
    <t>Strategia marki + content + kampanie</t>
  </si>
  <si>
    <t>Pilne: uporządkować podstawy w obszarze rentowność usług i wdrożyć minimalny proces.</t>
  </si>
  <si>
    <t>Analiza cennika i rentowności procedur</t>
  </si>
  <si>
    <t>Pilne: uporządkować podstawy w obszarze dane i kpi i wdrożyć minimalny proces.</t>
  </si>
  <si>
    <t>Dashboard zarządczy KPI</t>
  </si>
  <si>
    <t>Pilne: uporządkować podstawy w obszarze automatyzacja i ai i wdrożyć minimalny proces.</t>
  </si>
  <si>
    <t>Automatyzacje, chatbot, AI workflow</t>
  </si>
  <si>
    <t>Pilne: uporządkować podstawy w obszarze opinie i reputacja i wdrożyć minimalny proces.</t>
  </si>
  <si>
    <t>System pozyskiwania opinii i reputacji</t>
  </si>
  <si>
    <t>Pilne: uporządkować podstawy w obszarze skalowalność biznesu i wdrożyć minimalny proces.</t>
  </si>
  <si>
    <t>Procedury operacyjne i model skalowania</t>
  </si>
  <si>
    <t>MEDIASO Pricing Engine™</t>
  </si>
  <si>
    <t>Instrukcja</t>
  </si>
  <si>
    <t>Wpisz dane w kolumnie B. Arkusz podpowie zakres wynagrodzenia miesięcznego i projektowego.</t>
  </si>
  <si>
    <t>Liczba lokalizacji</t>
  </si>
  <si>
    <t>Liczba lekarzy/specjalistów</t>
  </si>
  <si>
    <t>Miesięczna liczba pacjentów</t>
  </si>
  <si>
    <t>Miesięczny obrót placówki (zł)</t>
  </si>
  <si>
    <t>Liczba głównych usług do promowania</t>
  </si>
  <si>
    <t>Czy obejmujemy rejestrację? (TAK/NIE)</t>
  </si>
  <si>
    <t>TAK</t>
  </si>
  <si>
    <t>Czy obejmujemy stronę/sklep? (TAK/NIE)</t>
  </si>
  <si>
    <t>Czy obejmujemy Google Ads? (TAK/NIE)</t>
  </si>
  <si>
    <t>Czy obejmujemy SEO? (TAK/NIE)</t>
  </si>
  <si>
    <t>Czy obejmujemy content/social? (TAK/NIE)</t>
  </si>
  <si>
    <t>Czy obejmujemy dashboard/analitykę? (TAK/NIE)</t>
  </si>
  <si>
    <t>Growth Score klienta</t>
  </si>
  <si>
    <t>Współczynnik złożoności</t>
  </si>
  <si>
    <t>Rekomendowany abonament min</t>
  </si>
  <si>
    <t>Rekomendowany abonament max</t>
  </si>
  <si>
    <t>Rekomendowany projekt startowy min</t>
  </si>
  <si>
    <t>Rekomendowany projekt startowy max</t>
  </si>
  <si>
    <t>Sugerowany budżet reklamowy klienta /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</si>
</sst>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z\ł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9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wthQuestions" displayName="GrowthQuestions" ref="A1:H81">
  <tableColumns count="8">
    <tableColumn id="1" xr3:uid="{00000000-0010-0000-0000-000001000000}" name="Obszar"/>
    <tableColumn id="2" xr3:uid="{00000000-0010-0000-0000-000002000000}" name="Kod"/>
    <tableColumn id="3" xr3:uid="{00000000-0010-0000-0000-000003000000}" name="Pytanie"/>
    <tableColumn id="4" xr3:uid="{00000000-0010-0000-0000-000004000000}" name="Max pkt"/>
    <tableColumn id="5" xr3:uid="{00000000-0010-0000-0000-000005000000}" name="Odpowiedź A-E"/>
    <tableColumn id="6" xr3:uid="{00000000-0010-0000-0000-000006000000}" name="Punkty"/>
    <tableColumn id="7" xr3:uid="{00000000-0010-0000-0000-000007000000}" name="Notatka klienta"/>
    <tableColumn id="8" xr3:uid="{00000000-0010-0000-0000-000008000000}" name="Notatka konsulta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ommendations" displayName="Recommendations" ref="A1:E11">
  <tableColumns count="5">
    <tableColumn id="1" xr3:uid="{00000000-0010-0000-0100-000001000000}" name="Obszar"/>
    <tableColumn id="2" xr3:uid="{00000000-0010-0000-0100-000002000000}" name="Jeśli wynik &lt;40%"/>
    <tableColumn id="3" xr3:uid="{00000000-0010-0000-0100-000003000000}" name="Jeśli wynik 40–70%"/>
    <tableColumn id="4" xr3:uid="{00000000-0010-0000-0100-000004000000}" name="Jeśli wynik &gt;70%"/>
    <tableColumn id="5" xr3:uid="{00000000-0010-0000-0100-000005000000}" name="Proponowany moduł MEDIA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workbookViewId="0">
      <selection activeCell="A5" sqref="A5"/>
    </sheetView>
  </sheetViews>
  <sheetFormatPr baseColWidth="10" defaultColWidth="8.83203125" defaultRowHeight="14"/>
  <cols>
    <col min="1" max="1" width="19.5" customWidth="1"/>
    <col min="2" max="2" width="91.5" customWidth="1"/>
  </cols>
  <sheetData>
    <row r="1" spans="1:8" ht="20" customHeight="1">
      <c r="A1" s="5" t="s">
        <v>0</v>
      </c>
      <c r="B1" s="6"/>
      <c r="C1" s="1"/>
      <c r="D1" s="1"/>
      <c r="E1" s="1"/>
      <c r="F1" s="1"/>
      <c r="G1" s="1"/>
      <c r="H1" s="1"/>
    </row>
    <row r="2" spans="1:8" ht="15">
      <c r="A2" s="1" t="s">
        <v>1</v>
      </c>
      <c r="B2" s="1" t="s">
        <v>2</v>
      </c>
      <c r="C2" s="1"/>
      <c r="D2" s="1"/>
      <c r="E2" s="1"/>
      <c r="F2" s="1"/>
      <c r="G2" s="1"/>
      <c r="H2" s="1"/>
    </row>
    <row r="3" spans="1:8" ht="30">
      <c r="A3" s="1" t="s">
        <v>3</v>
      </c>
      <c r="B3" s="1" t="s">
        <v>4</v>
      </c>
      <c r="C3" s="1"/>
      <c r="D3" s="1"/>
      <c r="E3" s="1"/>
      <c r="F3" s="1"/>
      <c r="G3" s="1"/>
      <c r="H3" s="1"/>
    </row>
    <row r="4" spans="1:8" ht="20" customHeight="1">
      <c r="A4" s="1" t="s">
        <v>5</v>
      </c>
      <c r="B4" s="1"/>
      <c r="C4" s="1"/>
      <c r="D4" s="1"/>
      <c r="E4" s="1"/>
      <c r="F4" s="1"/>
      <c r="G4" s="1"/>
      <c r="H4" s="1"/>
    </row>
    <row r="5" spans="1:8" ht="20" customHeight="1">
      <c r="A5" s="1" t="s">
        <v>6</v>
      </c>
      <c r="B5" s="1" t="s">
        <v>7</v>
      </c>
      <c r="C5" s="1"/>
      <c r="D5" s="1"/>
      <c r="E5" s="1"/>
      <c r="F5" s="1"/>
      <c r="G5" s="1"/>
      <c r="H5" s="1"/>
    </row>
    <row r="6" spans="1:8" ht="20" customHeight="1">
      <c r="A6" s="1" t="s">
        <v>8</v>
      </c>
      <c r="B6" s="1" t="s">
        <v>9</v>
      </c>
      <c r="C6" s="1"/>
      <c r="D6" s="1"/>
      <c r="E6" s="1"/>
      <c r="F6" s="1"/>
      <c r="G6" s="1"/>
      <c r="H6" s="1"/>
    </row>
    <row r="7" spans="1:8" ht="20" customHeight="1">
      <c r="A7" s="1" t="s">
        <v>10</v>
      </c>
      <c r="B7" s="1" t="s">
        <v>11</v>
      </c>
      <c r="C7" s="1"/>
      <c r="D7" s="1"/>
      <c r="E7" s="1"/>
      <c r="F7" s="1"/>
      <c r="G7" s="1"/>
      <c r="H7" s="1"/>
    </row>
    <row r="8" spans="1:8" ht="20" customHeight="1">
      <c r="A8" s="1" t="s">
        <v>12</v>
      </c>
      <c r="B8" s="1" t="s">
        <v>13</v>
      </c>
      <c r="C8" s="1"/>
      <c r="D8" s="1"/>
      <c r="E8" s="1"/>
      <c r="F8" s="1"/>
      <c r="G8" s="1"/>
      <c r="H8" s="1"/>
    </row>
    <row r="9" spans="1:8" ht="20" customHeight="1">
      <c r="A9" s="1" t="s">
        <v>14</v>
      </c>
      <c r="B9" s="1" t="s">
        <v>15</v>
      </c>
      <c r="C9" s="1"/>
      <c r="D9" s="1"/>
      <c r="E9" s="1"/>
      <c r="F9" s="1"/>
      <c r="G9" s="1"/>
      <c r="H9" s="1"/>
    </row>
    <row r="10" spans="1:8" ht="20" customHeight="1">
      <c r="A10" s="1"/>
      <c r="B10" s="1"/>
      <c r="C10" s="1"/>
      <c r="D10" s="1"/>
      <c r="E10" s="1"/>
      <c r="F10" s="1"/>
      <c r="G10" s="1"/>
      <c r="H10" s="1"/>
    </row>
    <row r="11" spans="1:8" ht="20" customHeight="1">
      <c r="A11" s="1" t="s">
        <v>16</v>
      </c>
      <c r="B11" s="1"/>
      <c r="C11" s="1"/>
      <c r="D11" s="1"/>
      <c r="E11" s="1"/>
      <c r="F11" s="1"/>
      <c r="G11" s="1"/>
      <c r="H11" s="1"/>
    </row>
    <row r="12" spans="1:8" ht="20" customHeight="1">
      <c r="A12" s="1" t="s">
        <v>17</v>
      </c>
      <c r="B12" s="1" t="s">
        <v>18</v>
      </c>
      <c r="C12" s="1"/>
      <c r="D12" s="1"/>
      <c r="E12" s="1"/>
      <c r="F12" s="1"/>
      <c r="G12" s="1"/>
      <c r="H12" s="1"/>
    </row>
    <row r="13" spans="1:8" ht="20" customHeight="1">
      <c r="A13" s="1" t="s">
        <v>19</v>
      </c>
      <c r="B13" s="1" t="s">
        <v>20</v>
      </c>
      <c r="C13" s="1"/>
      <c r="D13" s="1"/>
      <c r="E13" s="1"/>
      <c r="F13" s="1"/>
      <c r="G13" s="1"/>
      <c r="H13" s="1"/>
    </row>
    <row r="14" spans="1:8" ht="20" customHeight="1">
      <c r="A14" s="1" t="s">
        <v>21</v>
      </c>
      <c r="B14" s="1" t="s">
        <v>22</v>
      </c>
      <c r="C14" s="1"/>
      <c r="D14" s="1"/>
      <c r="E14" s="1"/>
      <c r="F14" s="1"/>
      <c r="G14" s="1"/>
      <c r="H14" s="1"/>
    </row>
    <row r="15" spans="1:8" ht="20" customHeight="1">
      <c r="A15" s="1" t="s">
        <v>23</v>
      </c>
      <c r="B15" s="1" t="s">
        <v>24</v>
      </c>
      <c r="C15" s="1"/>
      <c r="D15" s="1"/>
      <c r="E15" s="1"/>
      <c r="F15" s="1"/>
      <c r="G15" s="1"/>
      <c r="H15" s="1"/>
    </row>
    <row r="16" spans="1:8" ht="20" customHeight="1">
      <c r="A16" s="1" t="s">
        <v>25</v>
      </c>
      <c r="B16" s="1" t="s">
        <v>26</v>
      </c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30">
      <c r="A18" s="1" t="s">
        <v>27</v>
      </c>
      <c r="B18" s="1" t="s">
        <v>28</v>
      </c>
      <c r="C18" s="1"/>
      <c r="D18" s="1"/>
      <c r="E18" s="1"/>
      <c r="F18" s="1"/>
      <c r="G18" s="1"/>
      <c r="H18" s="1"/>
    </row>
    <row r="19" spans="1:8" ht="20" customHeight="1">
      <c r="A19" s="1"/>
      <c r="B19" s="1"/>
      <c r="C19" s="1"/>
      <c r="D19" s="1"/>
      <c r="E19" s="1"/>
      <c r="F19" s="1"/>
      <c r="G19" s="1"/>
      <c r="H19" s="1"/>
    </row>
    <row r="20" spans="1:8" ht="20" customHeight="1">
      <c r="A20" s="1"/>
      <c r="B20" s="1"/>
      <c r="C20" s="1"/>
      <c r="D20" s="1"/>
      <c r="E20" s="1"/>
      <c r="F20" s="1"/>
      <c r="G20" s="1"/>
      <c r="H20" s="1"/>
    </row>
    <row r="21" spans="1:8" ht="20" customHeight="1">
      <c r="A21" s="1"/>
      <c r="B21" s="1"/>
      <c r="C21" s="1"/>
      <c r="D21" s="1"/>
      <c r="E21" s="1"/>
      <c r="F21" s="1"/>
      <c r="G21" s="1"/>
      <c r="H21" s="1"/>
    </row>
    <row r="22" spans="1:8" ht="20" customHeight="1">
      <c r="A22" s="1"/>
      <c r="B22" s="1"/>
      <c r="C22" s="1"/>
      <c r="D22" s="1"/>
      <c r="E22" s="1"/>
      <c r="F22" s="1"/>
      <c r="G22" s="1"/>
      <c r="H22" s="1"/>
    </row>
    <row r="23" spans="1:8" ht="20" customHeight="1">
      <c r="A23" s="1"/>
      <c r="B23" s="1"/>
      <c r="C23" s="1"/>
      <c r="D23" s="1"/>
      <c r="E23" s="1"/>
      <c r="F23" s="1"/>
      <c r="G23" s="1"/>
      <c r="H23" s="1"/>
    </row>
    <row r="24" spans="1:8" ht="20" customHeight="1">
      <c r="A24" s="1"/>
      <c r="B24" s="1"/>
      <c r="C24" s="1"/>
      <c r="D24" s="1"/>
      <c r="E24" s="1"/>
      <c r="F24" s="1"/>
      <c r="G24" s="1"/>
      <c r="H24" s="1"/>
    </row>
    <row r="25" spans="1:8" ht="20" customHeight="1">
      <c r="A25" s="1"/>
      <c r="B25" s="1"/>
      <c r="C25" s="1"/>
      <c r="D25" s="1"/>
      <c r="E25" s="1"/>
      <c r="F25" s="1"/>
      <c r="G25" s="1"/>
      <c r="H25" s="1"/>
    </row>
    <row r="26" spans="1:8" ht="20" customHeight="1">
      <c r="A26" s="1"/>
      <c r="B26" s="1"/>
      <c r="C26" s="1"/>
      <c r="D26" s="1"/>
      <c r="E26" s="1"/>
      <c r="F26" s="1"/>
      <c r="G26" s="1"/>
      <c r="H26" s="1"/>
    </row>
    <row r="27" spans="1:8" ht="20" customHeight="1">
      <c r="A27" s="1"/>
      <c r="B27" s="1"/>
      <c r="C27" s="1"/>
      <c r="D27" s="1"/>
      <c r="E27" s="1"/>
      <c r="F27" s="1"/>
      <c r="G27" s="1"/>
      <c r="H27" s="1"/>
    </row>
    <row r="28" spans="1:8" ht="20" customHeight="1">
      <c r="A28" s="1"/>
      <c r="B28" s="1"/>
      <c r="C28" s="1"/>
      <c r="D28" s="1"/>
      <c r="E28" s="1"/>
      <c r="F28" s="1"/>
      <c r="G28" s="1"/>
      <c r="H28" s="1"/>
    </row>
    <row r="29" spans="1:8" ht="20" customHeight="1">
      <c r="A29" s="1"/>
      <c r="B29" s="1"/>
      <c r="C29" s="1"/>
      <c r="D29" s="1"/>
      <c r="E29" s="1"/>
      <c r="F29" s="1"/>
      <c r="G29" s="1"/>
      <c r="H29" s="1"/>
    </row>
    <row r="30" spans="1:8" ht="20" customHeight="1">
      <c r="A30" s="1"/>
      <c r="B30" s="1"/>
      <c r="C30" s="1"/>
      <c r="D30" s="1"/>
      <c r="E30" s="1"/>
      <c r="F30" s="1"/>
      <c r="G30" s="1"/>
      <c r="H30" s="1"/>
    </row>
    <row r="31" spans="1:8" ht="20" customHeight="1">
      <c r="A31" s="1"/>
      <c r="B31" s="1"/>
      <c r="C31" s="1"/>
      <c r="D31" s="1"/>
      <c r="E31" s="1"/>
      <c r="F31" s="1"/>
      <c r="G31" s="1"/>
      <c r="H31" s="1"/>
    </row>
    <row r="32" spans="1:8" ht="20" customHeight="1">
      <c r="A32" s="1"/>
      <c r="B32" s="1"/>
      <c r="C32" s="1"/>
      <c r="D32" s="1"/>
      <c r="E32" s="1"/>
      <c r="F32" s="1"/>
      <c r="G32" s="1"/>
      <c r="H32" s="1"/>
    </row>
    <row r="33" spans="1:8" ht="20" customHeight="1">
      <c r="A33" s="1"/>
      <c r="B33" s="1"/>
      <c r="C33" s="1"/>
      <c r="D33" s="1"/>
      <c r="E33" s="1"/>
      <c r="F33" s="1"/>
      <c r="G33" s="1"/>
      <c r="H33" s="1"/>
    </row>
    <row r="34" spans="1:8" ht="20" customHeight="1">
      <c r="A34" s="1"/>
      <c r="B34" s="1"/>
      <c r="C34" s="1"/>
      <c r="D34" s="1"/>
      <c r="E34" s="1"/>
      <c r="F34" s="1"/>
      <c r="G34" s="1"/>
      <c r="H34" s="1"/>
    </row>
    <row r="35" spans="1:8" ht="20" customHeight="1">
      <c r="A35" s="1"/>
      <c r="B35" s="1"/>
      <c r="C35" s="1"/>
      <c r="D35" s="1"/>
      <c r="E35" s="1"/>
      <c r="F35" s="1"/>
      <c r="G35" s="1"/>
      <c r="H35" s="1"/>
    </row>
    <row r="36" spans="1:8" ht="20" customHeight="1">
      <c r="A36" s="1"/>
      <c r="B36" s="1"/>
      <c r="C36" s="1"/>
      <c r="D36" s="1"/>
      <c r="E36" s="1"/>
      <c r="F36" s="1"/>
      <c r="G36" s="1"/>
      <c r="H36" s="1"/>
    </row>
    <row r="37" spans="1:8" ht="20" customHeight="1">
      <c r="A37" s="1"/>
      <c r="B37" s="1"/>
      <c r="C37" s="1"/>
      <c r="D37" s="1"/>
      <c r="E37" s="1"/>
      <c r="F37" s="1"/>
      <c r="G37" s="1"/>
      <c r="H37" s="1"/>
    </row>
    <row r="38" spans="1:8" ht="20" customHeight="1">
      <c r="A38" s="1"/>
      <c r="B38" s="1"/>
      <c r="C38" s="1"/>
      <c r="D38" s="1"/>
      <c r="E38" s="1"/>
      <c r="F38" s="1"/>
      <c r="G38" s="1"/>
      <c r="H38" s="1"/>
    </row>
    <row r="39" spans="1:8" ht="20" customHeight="1">
      <c r="A39" s="1"/>
      <c r="B39" s="1"/>
      <c r="C39" s="1"/>
      <c r="D39" s="1"/>
      <c r="E39" s="1"/>
      <c r="F39" s="1"/>
      <c r="G39" s="1"/>
      <c r="H39" s="1"/>
    </row>
    <row r="40" spans="1:8" ht="20" customHeight="1">
      <c r="A40" s="1"/>
      <c r="B40" s="1"/>
      <c r="C40" s="1"/>
      <c r="D40" s="1"/>
      <c r="E40" s="1"/>
      <c r="F40" s="1"/>
      <c r="G40" s="1"/>
      <c r="H40" s="1"/>
    </row>
    <row r="41" spans="1:8" ht="20" customHeight="1">
      <c r="A41" s="1"/>
      <c r="B41" s="1"/>
      <c r="C41" s="1"/>
      <c r="D41" s="1"/>
      <c r="E41" s="1"/>
      <c r="F41" s="1"/>
      <c r="G41" s="1"/>
      <c r="H41" s="1"/>
    </row>
    <row r="42" spans="1:8" ht="20" customHeight="1">
      <c r="A42" s="1"/>
      <c r="B42" s="1"/>
      <c r="C42" s="1"/>
      <c r="D42" s="1"/>
      <c r="E42" s="1"/>
      <c r="F42" s="1"/>
      <c r="G42" s="1"/>
      <c r="H42" s="1"/>
    </row>
    <row r="43" spans="1:8" ht="20" customHeight="1">
      <c r="A43" s="1"/>
      <c r="B43" s="1"/>
      <c r="C43" s="1"/>
      <c r="D43" s="1"/>
      <c r="E43" s="1"/>
      <c r="F43" s="1"/>
      <c r="G43" s="1"/>
      <c r="H43" s="1"/>
    </row>
    <row r="44" spans="1:8" ht="20" customHeight="1">
      <c r="A44" s="1"/>
      <c r="B44" s="1"/>
      <c r="C44" s="1"/>
      <c r="D44" s="1"/>
      <c r="E44" s="1"/>
      <c r="F44" s="1"/>
      <c r="G44" s="1"/>
      <c r="H44" s="1"/>
    </row>
    <row r="45" spans="1:8" ht="20" customHeight="1">
      <c r="A45" s="1"/>
      <c r="B45" s="1"/>
      <c r="C45" s="1"/>
      <c r="D45" s="1"/>
      <c r="E45" s="1"/>
      <c r="F45" s="1"/>
      <c r="G45" s="1"/>
      <c r="H45" s="1"/>
    </row>
    <row r="46" spans="1:8" ht="20" customHeight="1">
      <c r="A46" s="1"/>
      <c r="B46" s="1"/>
      <c r="C46" s="1"/>
      <c r="D46" s="1"/>
      <c r="E46" s="1"/>
      <c r="F46" s="1"/>
      <c r="G46" s="1"/>
      <c r="H46" s="1"/>
    </row>
    <row r="47" spans="1:8" ht="20" customHeight="1">
      <c r="A47" s="1"/>
      <c r="B47" s="1"/>
      <c r="C47" s="1"/>
      <c r="D47" s="1"/>
      <c r="E47" s="1"/>
      <c r="F47" s="1"/>
      <c r="G47" s="1"/>
      <c r="H47" s="1"/>
    </row>
    <row r="48" spans="1:8" ht="20" customHeight="1">
      <c r="A48" s="1"/>
      <c r="B48" s="1"/>
      <c r="C48" s="1"/>
      <c r="D48" s="1"/>
      <c r="E48" s="1"/>
      <c r="F48" s="1"/>
      <c r="G48" s="1"/>
      <c r="H48" s="1"/>
    </row>
    <row r="49" spans="1:8" ht="20" customHeight="1">
      <c r="A49" s="1"/>
      <c r="B49" s="1"/>
      <c r="C49" s="1"/>
      <c r="D49" s="1"/>
      <c r="E49" s="1"/>
      <c r="F49" s="1"/>
      <c r="G49" s="1"/>
      <c r="H49" s="1"/>
    </row>
    <row r="50" spans="1:8" ht="20" customHeight="1">
      <c r="A50" s="1"/>
      <c r="B50" s="1"/>
      <c r="C50" s="1"/>
      <c r="D50" s="1"/>
      <c r="E50" s="1"/>
      <c r="F50" s="1"/>
      <c r="G50" s="1"/>
      <c r="H50" s="1"/>
    </row>
    <row r="51" spans="1:8" ht="20" customHeight="1">
      <c r="A51" s="1"/>
      <c r="B51" s="1"/>
      <c r="C51" s="1"/>
      <c r="D51" s="1"/>
      <c r="E51" s="1"/>
      <c r="F51" s="1"/>
      <c r="G51" s="1"/>
      <c r="H51" s="1"/>
    </row>
    <row r="52" spans="1:8" ht="20" customHeight="1">
      <c r="A52" s="1"/>
      <c r="B52" s="1"/>
      <c r="C52" s="1"/>
      <c r="D52" s="1"/>
      <c r="E52" s="1"/>
      <c r="F52" s="1"/>
      <c r="G52" s="1"/>
      <c r="H52" s="1"/>
    </row>
    <row r="53" spans="1:8" ht="20" customHeight="1">
      <c r="A53" s="1"/>
      <c r="B53" s="1"/>
      <c r="C53" s="1"/>
      <c r="D53" s="1"/>
      <c r="E53" s="1"/>
      <c r="F53" s="1"/>
      <c r="G53" s="1"/>
      <c r="H53" s="1"/>
    </row>
    <row r="54" spans="1:8" ht="20" customHeight="1">
      <c r="A54" s="1"/>
      <c r="B54" s="1"/>
      <c r="C54" s="1"/>
      <c r="D54" s="1"/>
      <c r="E54" s="1"/>
      <c r="F54" s="1"/>
      <c r="G54" s="1"/>
      <c r="H54" s="1"/>
    </row>
    <row r="55" spans="1:8" ht="20" customHeight="1">
      <c r="A55" s="1"/>
      <c r="B55" s="1"/>
      <c r="C55" s="1"/>
      <c r="D55" s="1"/>
      <c r="E55" s="1"/>
      <c r="F55" s="1"/>
      <c r="G55" s="1"/>
      <c r="H55" s="1"/>
    </row>
    <row r="56" spans="1:8" ht="20" customHeight="1">
      <c r="A56" s="1"/>
      <c r="B56" s="1"/>
      <c r="C56" s="1"/>
      <c r="D56" s="1"/>
      <c r="E56" s="1"/>
      <c r="F56" s="1"/>
      <c r="G56" s="1"/>
      <c r="H56" s="1"/>
    </row>
    <row r="57" spans="1:8" ht="20" customHeight="1">
      <c r="A57" s="1"/>
      <c r="B57" s="1"/>
      <c r="C57" s="1"/>
      <c r="D57" s="1"/>
      <c r="E57" s="1"/>
      <c r="F57" s="1"/>
      <c r="G57" s="1"/>
      <c r="H57" s="1"/>
    </row>
    <row r="58" spans="1:8" ht="20" customHeight="1">
      <c r="A58" s="1"/>
      <c r="B58" s="1"/>
      <c r="C58" s="1"/>
      <c r="D58" s="1"/>
      <c r="E58" s="1"/>
      <c r="F58" s="1"/>
      <c r="G58" s="1"/>
      <c r="H58" s="1"/>
    </row>
    <row r="59" spans="1:8" ht="20" customHeight="1">
      <c r="A59" s="1"/>
      <c r="B59" s="1"/>
      <c r="C59" s="1"/>
      <c r="D59" s="1"/>
      <c r="E59" s="1"/>
      <c r="F59" s="1"/>
      <c r="G59" s="1"/>
      <c r="H59" s="1"/>
    </row>
    <row r="60" spans="1:8" ht="20" customHeight="1">
      <c r="A60" s="1"/>
      <c r="B60" s="1"/>
      <c r="C60" s="1"/>
      <c r="D60" s="1"/>
      <c r="E60" s="1"/>
      <c r="F60" s="1"/>
      <c r="G60" s="1"/>
      <c r="H60" s="1"/>
    </row>
    <row r="61" spans="1:8" ht="20" customHeight="1">
      <c r="A61" s="1"/>
      <c r="B61" s="1"/>
      <c r="C61" s="1"/>
      <c r="D61" s="1"/>
      <c r="E61" s="1"/>
      <c r="F61" s="1"/>
      <c r="G61" s="1"/>
      <c r="H61" s="1"/>
    </row>
    <row r="62" spans="1:8" ht="20" customHeight="1">
      <c r="A62" s="1"/>
      <c r="B62" s="1"/>
      <c r="C62" s="1"/>
      <c r="D62" s="1"/>
      <c r="E62" s="1"/>
      <c r="F62" s="1"/>
      <c r="G62" s="1"/>
      <c r="H62" s="1"/>
    </row>
    <row r="63" spans="1:8" ht="20" customHeight="1">
      <c r="A63" s="1"/>
      <c r="B63" s="1"/>
      <c r="C63" s="1"/>
      <c r="D63" s="1"/>
      <c r="E63" s="1"/>
      <c r="F63" s="1"/>
      <c r="G63" s="1"/>
      <c r="H63" s="1"/>
    </row>
    <row r="64" spans="1:8" ht="20" customHeight="1">
      <c r="A64" s="1"/>
      <c r="B64" s="1"/>
      <c r="C64" s="1"/>
      <c r="D64" s="1"/>
      <c r="E64" s="1"/>
      <c r="F64" s="1"/>
      <c r="G64" s="1"/>
      <c r="H64" s="1"/>
    </row>
    <row r="65" spans="1:8" ht="20" customHeight="1">
      <c r="A65" s="1"/>
      <c r="B65" s="1"/>
      <c r="C65" s="1"/>
      <c r="D65" s="1"/>
      <c r="E65" s="1"/>
      <c r="F65" s="1"/>
      <c r="G65" s="1"/>
      <c r="H65" s="1"/>
    </row>
    <row r="66" spans="1:8" ht="20" customHeight="1">
      <c r="A66" s="1"/>
      <c r="B66" s="1"/>
      <c r="C66" s="1"/>
      <c r="D66" s="1"/>
      <c r="E66" s="1"/>
      <c r="F66" s="1"/>
      <c r="G66" s="1"/>
      <c r="H66" s="1"/>
    </row>
    <row r="67" spans="1:8" ht="20" customHeight="1">
      <c r="A67" s="1"/>
      <c r="B67" s="1"/>
      <c r="C67" s="1"/>
      <c r="D67" s="1"/>
      <c r="E67" s="1"/>
      <c r="F67" s="1"/>
      <c r="G67" s="1"/>
      <c r="H67" s="1"/>
    </row>
    <row r="68" spans="1:8" ht="20" customHeight="1">
      <c r="A68" s="1"/>
      <c r="B68" s="1"/>
      <c r="C68" s="1"/>
      <c r="D68" s="1"/>
      <c r="E68" s="1"/>
      <c r="F68" s="1"/>
      <c r="G68" s="1"/>
      <c r="H68" s="1"/>
    </row>
    <row r="69" spans="1:8" ht="20" customHeight="1">
      <c r="A69" s="1"/>
      <c r="B69" s="1"/>
      <c r="C69" s="1"/>
      <c r="D69" s="1"/>
      <c r="E69" s="1"/>
      <c r="F69" s="1"/>
      <c r="G69" s="1"/>
      <c r="H69" s="1"/>
    </row>
    <row r="70" spans="1:8" ht="20" customHeight="1">
      <c r="A70" s="1"/>
      <c r="B70" s="1"/>
      <c r="C70" s="1"/>
      <c r="D70" s="1"/>
      <c r="E70" s="1"/>
      <c r="F70" s="1"/>
      <c r="G70" s="1"/>
      <c r="H70" s="1"/>
    </row>
    <row r="71" spans="1:8" ht="20" customHeight="1">
      <c r="A71" s="1"/>
      <c r="B71" s="1"/>
      <c r="C71" s="1"/>
      <c r="D71" s="1"/>
      <c r="E71" s="1"/>
      <c r="F71" s="1"/>
      <c r="G71" s="1"/>
      <c r="H71" s="1"/>
    </row>
    <row r="72" spans="1:8" ht="20" customHeight="1">
      <c r="A72" s="1"/>
      <c r="B72" s="1"/>
      <c r="C72" s="1"/>
      <c r="D72" s="1"/>
      <c r="E72" s="1"/>
      <c r="F72" s="1"/>
      <c r="G72" s="1"/>
      <c r="H72" s="1"/>
    </row>
    <row r="73" spans="1:8" ht="20" customHeight="1">
      <c r="A73" s="1"/>
      <c r="B73" s="1"/>
      <c r="C73" s="1"/>
      <c r="D73" s="1"/>
      <c r="E73" s="1"/>
      <c r="F73" s="1"/>
      <c r="G73" s="1"/>
      <c r="H73" s="1"/>
    </row>
    <row r="74" spans="1:8" ht="20" customHeight="1">
      <c r="A74" s="1"/>
      <c r="B74" s="1"/>
      <c r="C74" s="1"/>
      <c r="D74" s="1"/>
      <c r="E74" s="1"/>
      <c r="F74" s="1"/>
      <c r="G74" s="1"/>
      <c r="H74" s="1"/>
    </row>
    <row r="75" spans="1:8" ht="20" customHeight="1">
      <c r="A75" s="1"/>
      <c r="B75" s="1"/>
      <c r="C75" s="1"/>
      <c r="D75" s="1"/>
      <c r="E75" s="1"/>
      <c r="F75" s="1"/>
      <c r="G75" s="1"/>
      <c r="H75" s="1"/>
    </row>
    <row r="76" spans="1:8" ht="20" customHeight="1">
      <c r="A76" s="1"/>
      <c r="B76" s="1"/>
      <c r="C76" s="1"/>
      <c r="D76" s="1"/>
      <c r="E76" s="1"/>
      <c r="F76" s="1"/>
      <c r="G76" s="1"/>
      <c r="H76" s="1"/>
    </row>
    <row r="77" spans="1:8" ht="20" customHeight="1">
      <c r="A77" s="1"/>
      <c r="B77" s="1"/>
      <c r="C77" s="1"/>
      <c r="D77" s="1"/>
      <c r="E77" s="1"/>
      <c r="F77" s="1"/>
      <c r="G77" s="1"/>
      <c r="H77" s="1"/>
    </row>
    <row r="78" spans="1:8" ht="20" customHeight="1">
      <c r="A78" s="1"/>
      <c r="B78" s="1"/>
      <c r="C78" s="1"/>
      <c r="D78" s="1"/>
      <c r="E78" s="1"/>
      <c r="F78" s="1"/>
      <c r="G78" s="1"/>
      <c r="H78" s="1"/>
    </row>
    <row r="79" spans="1:8" ht="20" customHeight="1">
      <c r="A79" s="1"/>
      <c r="B79" s="1"/>
      <c r="C79" s="1"/>
      <c r="D79" s="1"/>
      <c r="E79" s="1"/>
      <c r="F79" s="1"/>
      <c r="G79" s="1"/>
      <c r="H79" s="1"/>
    </row>
    <row r="80" spans="1:8" ht="20" customHeight="1">
      <c r="A80" s="1"/>
      <c r="B80" s="1"/>
      <c r="C80" s="1"/>
      <c r="D80" s="1"/>
      <c r="E80" s="1"/>
      <c r="F80" s="1"/>
      <c r="G80" s="1"/>
      <c r="H80" s="1"/>
    </row>
    <row r="81" spans="1:8" ht="20" customHeight="1">
      <c r="A81" s="1"/>
      <c r="B81" s="1"/>
      <c r="C81" s="1"/>
      <c r="D81" s="1"/>
      <c r="E81" s="1"/>
      <c r="F81" s="1"/>
      <c r="G81" s="1"/>
      <c r="H81" s="1"/>
    </row>
    <row r="82" spans="1:8" ht="20" customHeight="1">
      <c r="A82" s="1"/>
      <c r="B82" s="1"/>
      <c r="C82" s="1"/>
      <c r="D82" s="1"/>
      <c r="E82" s="1"/>
      <c r="F82" s="1"/>
      <c r="G82" s="1"/>
      <c r="H82" s="1"/>
    </row>
    <row r="83" spans="1:8" ht="20" customHeight="1">
      <c r="A83" s="1"/>
      <c r="B83" s="1"/>
      <c r="C83" s="1"/>
      <c r="D83" s="1"/>
      <c r="E83" s="1"/>
      <c r="F83" s="1"/>
      <c r="G83" s="1"/>
      <c r="H83" s="1"/>
    </row>
    <row r="84" spans="1:8" ht="20" customHeight="1">
      <c r="A84" s="1"/>
      <c r="B84" s="1"/>
      <c r="C84" s="1"/>
      <c r="D84" s="1"/>
      <c r="E84" s="1"/>
      <c r="F84" s="1"/>
      <c r="G84" s="1"/>
      <c r="H84" s="1"/>
    </row>
    <row r="85" spans="1:8" ht="20" customHeight="1">
      <c r="A85" s="1"/>
      <c r="B85" s="1"/>
      <c r="C85" s="1"/>
      <c r="D85" s="1"/>
      <c r="E85" s="1"/>
      <c r="F85" s="1"/>
      <c r="G85" s="1"/>
      <c r="H85" s="1"/>
    </row>
    <row r="86" spans="1:8" ht="20" customHeight="1">
      <c r="A86" s="1"/>
      <c r="B86" s="1"/>
      <c r="C86" s="1"/>
      <c r="D86" s="1"/>
      <c r="E86" s="1"/>
      <c r="F86" s="1"/>
      <c r="G86" s="1"/>
      <c r="H86" s="1"/>
    </row>
    <row r="87" spans="1:8" ht="20" customHeight="1">
      <c r="A87" s="1"/>
      <c r="B87" s="1"/>
      <c r="C87" s="1"/>
      <c r="D87" s="1"/>
      <c r="E87" s="1"/>
      <c r="F87" s="1"/>
      <c r="G87" s="1"/>
      <c r="H87" s="1"/>
    </row>
    <row r="88" spans="1:8" ht="20" customHeight="1">
      <c r="A88" s="1"/>
      <c r="B88" s="1"/>
      <c r="C88" s="1"/>
      <c r="D88" s="1"/>
      <c r="E88" s="1"/>
      <c r="F88" s="1"/>
      <c r="G88" s="1"/>
      <c r="H88" s="1"/>
    </row>
    <row r="89" spans="1:8" ht="20" customHeight="1">
      <c r="A89" s="1"/>
      <c r="B89" s="1"/>
      <c r="C89" s="1"/>
      <c r="D89" s="1"/>
      <c r="E89" s="1"/>
      <c r="F89" s="1"/>
      <c r="G89" s="1"/>
      <c r="H89" s="1"/>
    </row>
    <row r="90" spans="1:8" ht="20" customHeight="1">
      <c r="A90" s="1"/>
      <c r="B90" s="1"/>
      <c r="C90" s="1"/>
      <c r="D90" s="1"/>
      <c r="E90" s="1"/>
      <c r="F90" s="1"/>
      <c r="G90" s="1"/>
      <c r="H90" s="1"/>
    </row>
    <row r="91" spans="1:8" ht="20" customHeight="1">
      <c r="A91" s="1"/>
      <c r="B91" s="1"/>
      <c r="C91" s="1"/>
      <c r="D91" s="1"/>
      <c r="E91" s="1"/>
      <c r="F91" s="1"/>
      <c r="G91" s="1"/>
      <c r="H91" s="1"/>
    </row>
    <row r="92" spans="1:8" ht="20" customHeight="1">
      <c r="A92" s="1"/>
      <c r="B92" s="1"/>
      <c r="C92" s="1"/>
      <c r="D92" s="1"/>
      <c r="E92" s="1"/>
      <c r="F92" s="1"/>
      <c r="G92" s="1"/>
      <c r="H92" s="1"/>
    </row>
    <row r="93" spans="1:8" ht="20" customHeight="1">
      <c r="A93" s="1"/>
      <c r="B93" s="1"/>
      <c r="C93" s="1"/>
      <c r="D93" s="1"/>
      <c r="E93" s="1"/>
      <c r="F93" s="1"/>
      <c r="G93" s="1"/>
      <c r="H93" s="1"/>
    </row>
    <row r="94" spans="1:8" ht="20" customHeight="1">
      <c r="A94" s="1"/>
      <c r="B94" s="1"/>
      <c r="C94" s="1"/>
      <c r="D94" s="1"/>
      <c r="E94" s="1"/>
      <c r="F94" s="1"/>
      <c r="G94" s="1"/>
      <c r="H94" s="1"/>
    </row>
    <row r="95" spans="1:8" ht="20" customHeight="1">
      <c r="A95" s="1"/>
      <c r="B95" s="1"/>
      <c r="C95" s="1"/>
      <c r="D95" s="1"/>
      <c r="E95" s="1"/>
      <c r="F95" s="1"/>
      <c r="G95" s="1"/>
      <c r="H95" s="1"/>
    </row>
    <row r="96" spans="1:8" ht="20" customHeight="1">
      <c r="A96" s="1"/>
      <c r="B96" s="1"/>
      <c r="C96" s="1"/>
      <c r="D96" s="1"/>
      <c r="E96" s="1"/>
      <c r="F96" s="1"/>
      <c r="G96" s="1"/>
      <c r="H96" s="1"/>
    </row>
    <row r="97" spans="1:8" ht="20" customHeight="1">
      <c r="A97" s="1"/>
      <c r="B97" s="1"/>
      <c r="C97" s="1"/>
      <c r="D97" s="1"/>
      <c r="E97" s="1"/>
      <c r="F97" s="1"/>
      <c r="G97" s="1"/>
      <c r="H97" s="1"/>
    </row>
    <row r="98" spans="1:8" ht="20" customHeight="1">
      <c r="A98" s="1"/>
      <c r="B98" s="1"/>
      <c r="C98" s="1"/>
      <c r="D98" s="1"/>
      <c r="E98" s="1"/>
      <c r="F98" s="1"/>
      <c r="G98" s="1"/>
      <c r="H98" s="1"/>
    </row>
    <row r="99" spans="1:8" ht="20" customHeight="1">
      <c r="A99" s="1"/>
      <c r="B99" s="1"/>
      <c r="C99" s="1"/>
      <c r="D99" s="1"/>
      <c r="E99" s="1"/>
      <c r="F99" s="1"/>
      <c r="G99" s="1"/>
      <c r="H99" s="1"/>
    </row>
    <row r="100" spans="1:8" ht="20" customHeight="1">
      <c r="A100" s="1"/>
      <c r="B100" s="1"/>
      <c r="C100" s="1"/>
      <c r="D100" s="1"/>
      <c r="E100" s="1"/>
      <c r="F100" s="1"/>
      <c r="G100" s="1"/>
      <c r="H100" s="1"/>
    </row>
    <row r="101" spans="1:8" ht="20" customHeight="1">
      <c r="A101" s="1"/>
      <c r="B101" s="1"/>
      <c r="C101" s="1"/>
      <c r="D101" s="1"/>
      <c r="E101" s="1"/>
      <c r="F101" s="1"/>
      <c r="G101" s="1"/>
      <c r="H101" s="1"/>
    </row>
    <row r="102" spans="1:8" ht="20" customHeight="1">
      <c r="A102" s="1"/>
      <c r="B102" s="1"/>
      <c r="C102" s="1"/>
      <c r="D102" s="1"/>
      <c r="E102" s="1"/>
      <c r="F102" s="1"/>
      <c r="G102" s="1"/>
      <c r="H102" s="1"/>
    </row>
    <row r="103" spans="1:8" ht="20" customHeight="1">
      <c r="A103" s="1"/>
      <c r="B103" s="1"/>
      <c r="C103" s="1"/>
      <c r="D103" s="1"/>
      <c r="E103" s="1"/>
      <c r="F103" s="1"/>
      <c r="G103" s="1"/>
      <c r="H103" s="1"/>
    </row>
    <row r="104" spans="1:8" ht="20" customHeight="1">
      <c r="A104" s="1"/>
      <c r="B104" s="1"/>
      <c r="C104" s="1"/>
      <c r="D104" s="1"/>
      <c r="E104" s="1"/>
      <c r="F104" s="1"/>
      <c r="G104" s="1"/>
      <c r="H104" s="1"/>
    </row>
    <row r="105" spans="1:8" ht="20" customHeight="1">
      <c r="A105" s="1"/>
      <c r="B105" s="1"/>
      <c r="C105" s="1"/>
      <c r="D105" s="1"/>
      <c r="E105" s="1"/>
      <c r="F105" s="1"/>
      <c r="G105" s="1"/>
      <c r="H105" s="1"/>
    </row>
    <row r="106" spans="1:8" ht="20" customHeight="1">
      <c r="A106" s="1"/>
      <c r="B106" s="1"/>
      <c r="C106" s="1"/>
      <c r="D106" s="1"/>
      <c r="E106" s="1"/>
      <c r="F106" s="1"/>
      <c r="G106" s="1"/>
      <c r="H106" s="1"/>
    </row>
    <row r="107" spans="1:8" ht="20" customHeight="1">
      <c r="A107" s="1"/>
      <c r="B107" s="1"/>
      <c r="C107" s="1"/>
      <c r="D107" s="1"/>
      <c r="E107" s="1"/>
      <c r="F107" s="1"/>
      <c r="G107" s="1"/>
      <c r="H107" s="1"/>
    </row>
    <row r="108" spans="1:8" ht="20" customHeight="1">
      <c r="A108" s="1"/>
      <c r="B108" s="1"/>
      <c r="C108" s="1"/>
      <c r="D108" s="1"/>
      <c r="E108" s="1"/>
      <c r="F108" s="1"/>
      <c r="G108" s="1"/>
      <c r="H108" s="1"/>
    </row>
    <row r="109" spans="1:8" ht="20" customHeight="1">
      <c r="A109" s="1"/>
      <c r="B109" s="1"/>
      <c r="C109" s="1"/>
      <c r="D109" s="1"/>
      <c r="E109" s="1"/>
      <c r="F109" s="1"/>
      <c r="G109" s="1"/>
      <c r="H109" s="1"/>
    </row>
    <row r="110" spans="1:8" ht="20" customHeight="1">
      <c r="A110" s="1"/>
      <c r="B110" s="1"/>
      <c r="C110" s="1"/>
      <c r="D110" s="1"/>
      <c r="E110" s="1"/>
      <c r="F110" s="1"/>
      <c r="G110" s="1"/>
      <c r="H110" s="1"/>
    </row>
    <row r="111" spans="1:8" ht="20" customHeight="1">
      <c r="A111" s="1"/>
      <c r="B111" s="1"/>
      <c r="C111" s="1"/>
      <c r="D111" s="1"/>
      <c r="E111" s="1"/>
      <c r="F111" s="1"/>
      <c r="G111" s="1"/>
      <c r="H111" s="1"/>
    </row>
    <row r="112" spans="1:8" ht="20" customHeight="1">
      <c r="A112" s="1"/>
      <c r="B112" s="1"/>
      <c r="C112" s="1"/>
      <c r="D112" s="1"/>
      <c r="E112" s="1"/>
      <c r="F112" s="1"/>
      <c r="G112" s="1"/>
      <c r="H112" s="1"/>
    </row>
    <row r="113" spans="1:8" ht="20" customHeight="1">
      <c r="A113" s="1"/>
      <c r="B113" s="1"/>
      <c r="C113" s="1"/>
      <c r="D113" s="1"/>
      <c r="E113" s="1"/>
      <c r="F113" s="1"/>
      <c r="G113" s="1"/>
      <c r="H113" s="1"/>
    </row>
    <row r="114" spans="1:8" ht="20" customHeight="1">
      <c r="A114" s="1"/>
      <c r="B114" s="1"/>
      <c r="C114" s="1"/>
      <c r="D114" s="1"/>
      <c r="E114" s="1"/>
      <c r="F114" s="1"/>
      <c r="G114" s="1"/>
      <c r="H114" s="1"/>
    </row>
    <row r="115" spans="1:8" ht="20" customHeight="1">
      <c r="A115" s="1"/>
      <c r="B115" s="1"/>
      <c r="C115" s="1"/>
      <c r="D115" s="1"/>
      <c r="E115" s="1"/>
      <c r="F115" s="1"/>
      <c r="G115" s="1"/>
      <c r="H115" s="1"/>
    </row>
    <row r="116" spans="1:8" ht="20" customHeight="1">
      <c r="A116" s="1"/>
      <c r="B116" s="1"/>
      <c r="C116" s="1"/>
      <c r="D116" s="1"/>
      <c r="E116" s="1"/>
      <c r="F116" s="1"/>
      <c r="G116" s="1"/>
      <c r="H116" s="1"/>
    </row>
    <row r="117" spans="1:8" ht="20" customHeight="1">
      <c r="A117" s="1"/>
      <c r="B117" s="1"/>
      <c r="C117" s="1"/>
      <c r="D117" s="1"/>
      <c r="E117" s="1"/>
      <c r="F117" s="1"/>
      <c r="G117" s="1"/>
      <c r="H117" s="1"/>
    </row>
    <row r="118" spans="1:8" ht="20" customHeight="1">
      <c r="A118" s="1"/>
      <c r="B118" s="1"/>
      <c r="C118" s="1"/>
      <c r="D118" s="1"/>
      <c r="E118" s="1"/>
      <c r="F118" s="1"/>
      <c r="G118" s="1"/>
      <c r="H118" s="1"/>
    </row>
    <row r="119" spans="1:8" ht="20" customHeight="1">
      <c r="A119" s="1"/>
      <c r="B119" s="1"/>
      <c r="C119" s="1"/>
      <c r="D119" s="1"/>
      <c r="E119" s="1"/>
      <c r="F119" s="1"/>
      <c r="G119" s="1"/>
      <c r="H119" s="1"/>
    </row>
    <row r="120" spans="1:8" ht="20" customHeight="1">
      <c r="A120" s="1"/>
      <c r="B120" s="1"/>
      <c r="C120" s="1"/>
      <c r="D120" s="1"/>
      <c r="E120" s="1"/>
      <c r="F120" s="1"/>
      <c r="G120" s="1"/>
      <c r="H120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"/>
  <sheetViews>
    <sheetView topLeftCell="A53" workbookViewId="0">
      <selection activeCell="E82" sqref="E82"/>
    </sheetView>
  </sheetViews>
  <sheetFormatPr baseColWidth="10" defaultColWidth="8.83203125" defaultRowHeight="14"/>
  <cols>
    <col min="1" max="1" width="25" customWidth="1"/>
    <col min="2" max="2" width="7.1640625" bestFit="1" customWidth="1"/>
    <col min="3" max="3" width="65" customWidth="1"/>
    <col min="4" max="4" width="8" bestFit="1" customWidth="1"/>
    <col min="5" max="5" width="14.6640625" bestFit="1" customWidth="1"/>
    <col min="6" max="6" width="7.33203125" bestFit="1" customWidth="1"/>
    <col min="7" max="8" width="30" customWidth="1"/>
  </cols>
  <sheetData>
    <row r="1" spans="1:8" ht="20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ht="15">
      <c r="A2" s="1" t="s">
        <v>37</v>
      </c>
      <c r="B2" s="1" t="s">
        <v>38</v>
      </c>
      <c r="C2" s="1" t="s">
        <v>39</v>
      </c>
      <c r="D2" s="1">
        <v>1.875</v>
      </c>
      <c r="E2" s="1" t="s">
        <v>10</v>
      </c>
      <c r="F2" s="1">
        <f t="shared" ref="F2:F33" si="0">IF(E2="A",0,IF(E2="B",D2*0.25,IF(E2="C",D2*0.5,IF(E2="D",D2*0.75,IF(E2="E",D2,"")))))</f>
        <v>0.9375</v>
      </c>
      <c r="G2" s="1"/>
      <c r="H2" s="1"/>
    </row>
    <row r="3" spans="1:8" ht="30">
      <c r="A3" s="1" t="s">
        <v>37</v>
      </c>
      <c r="B3" s="1" t="s">
        <v>40</v>
      </c>
      <c r="C3" s="1" t="s">
        <v>41</v>
      </c>
      <c r="D3" s="1">
        <v>1.875</v>
      </c>
      <c r="E3" s="1" t="s">
        <v>14</v>
      </c>
      <c r="F3" s="1">
        <f t="shared" si="0"/>
        <v>1.875</v>
      </c>
      <c r="G3" s="1"/>
      <c r="H3" s="1"/>
    </row>
    <row r="4" spans="1:8" ht="30">
      <c r="A4" s="1" t="s">
        <v>37</v>
      </c>
      <c r="B4" s="1" t="s">
        <v>42</v>
      </c>
      <c r="C4" s="1" t="s">
        <v>43</v>
      </c>
      <c r="D4" s="1">
        <v>1.875</v>
      </c>
      <c r="E4" s="1" t="s">
        <v>12</v>
      </c>
      <c r="F4" s="1">
        <f t="shared" si="0"/>
        <v>1.40625</v>
      </c>
      <c r="G4" s="1"/>
      <c r="H4" s="1"/>
    </row>
    <row r="5" spans="1:8" ht="30">
      <c r="A5" s="1" t="s">
        <v>37</v>
      </c>
      <c r="B5" s="1" t="s">
        <v>44</v>
      </c>
      <c r="C5" s="1" t="s">
        <v>45</v>
      </c>
      <c r="D5" s="1">
        <v>1.875</v>
      </c>
      <c r="E5" s="1" t="s">
        <v>14</v>
      </c>
      <c r="F5" s="1">
        <f t="shared" si="0"/>
        <v>1.875</v>
      </c>
      <c r="G5" s="1"/>
      <c r="H5" s="1"/>
    </row>
    <row r="6" spans="1:8" ht="15">
      <c r="A6" s="1" t="s">
        <v>37</v>
      </c>
      <c r="B6" s="1" t="s">
        <v>46</v>
      </c>
      <c r="C6" s="1" t="s">
        <v>47</v>
      </c>
      <c r="D6" s="1">
        <v>1.875</v>
      </c>
      <c r="E6" s="1" t="s">
        <v>10</v>
      </c>
      <c r="F6" s="1">
        <f t="shared" si="0"/>
        <v>0.9375</v>
      </c>
      <c r="G6" s="1"/>
      <c r="H6" s="1"/>
    </row>
    <row r="7" spans="1:8" ht="30">
      <c r="A7" s="1" t="s">
        <v>37</v>
      </c>
      <c r="B7" s="1" t="s">
        <v>48</v>
      </c>
      <c r="C7" s="1" t="s">
        <v>49</v>
      </c>
      <c r="D7" s="1">
        <v>1.875</v>
      </c>
      <c r="E7" s="1" t="s">
        <v>10</v>
      </c>
      <c r="F7" s="1">
        <f t="shared" si="0"/>
        <v>0.9375</v>
      </c>
      <c r="G7" s="1"/>
      <c r="H7" s="1"/>
    </row>
    <row r="8" spans="1:8" ht="20" customHeight="1">
      <c r="A8" s="1" t="s">
        <v>37</v>
      </c>
      <c r="B8" s="1" t="s">
        <v>50</v>
      </c>
      <c r="C8" s="1" t="s">
        <v>51</v>
      </c>
      <c r="D8" s="1">
        <v>1.875</v>
      </c>
      <c r="E8" s="1" t="s">
        <v>8</v>
      </c>
      <c r="F8" s="1">
        <f t="shared" si="0"/>
        <v>0.46875</v>
      </c>
      <c r="G8" s="1"/>
      <c r="H8" s="1"/>
    </row>
    <row r="9" spans="1:8" ht="20" customHeight="1">
      <c r="A9" s="1" t="s">
        <v>37</v>
      </c>
      <c r="B9" s="1" t="s">
        <v>52</v>
      </c>
      <c r="C9" s="1" t="s">
        <v>53</v>
      </c>
      <c r="D9" s="1">
        <v>1.875</v>
      </c>
      <c r="E9" s="1" t="s">
        <v>6</v>
      </c>
      <c r="F9" s="1">
        <f t="shared" si="0"/>
        <v>0</v>
      </c>
      <c r="G9" s="1"/>
      <c r="H9" s="1"/>
    </row>
    <row r="10" spans="1:8" ht="20" customHeight="1">
      <c r="A10" s="1" t="s">
        <v>54</v>
      </c>
      <c r="B10" s="1" t="s">
        <v>55</v>
      </c>
      <c r="C10" s="1" t="s">
        <v>56</v>
      </c>
      <c r="D10" s="1">
        <v>1.875</v>
      </c>
      <c r="E10" s="1" t="s">
        <v>10</v>
      </c>
      <c r="F10" s="1">
        <f t="shared" si="0"/>
        <v>0.9375</v>
      </c>
      <c r="G10" s="1"/>
      <c r="H10" s="1"/>
    </row>
    <row r="11" spans="1:8" ht="20" customHeight="1">
      <c r="A11" s="1" t="s">
        <v>54</v>
      </c>
      <c r="B11" s="1" t="s">
        <v>57</v>
      </c>
      <c r="C11" s="1" t="s">
        <v>58</v>
      </c>
      <c r="D11" s="1">
        <v>1.875</v>
      </c>
      <c r="E11" s="1" t="s">
        <v>6</v>
      </c>
      <c r="F11" s="1">
        <f t="shared" si="0"/>
        <v>0</v>
      </c>
      <c r="G11" s="1"/>
      <c r="H11" s="1"/>
    </row>
    <row r="12" spans="1:8" ht="20" customHeight="1">
      <c r="A12" s="1" t="s">
        <v>54</v>
      </c>
      <c r="B12" s="1" t="s">
        <v>59</v>
      </c>
      <c r="C12" s="1" t="s">
        <v>60</v>
      </c>
      <c r="D12" s="1">
        <v>1.875</v>
      </c>
      <c r="E12" s="1" t="s">
        <v>6</v>
      </c>
      <c r="F12" s="1">
        <f t="shared" si="0"/>
        <v>0</v>
      </c>
      <c r="G12" s="1"/>
      <c r="H12" s="1"/>
    </row>
    <row r="13" spans="1:8" ht="20" customHeight="1">
      <c r="A13" s="1" t="s">
        <v>54</v>
      </c>
      <c r="B13" s="1" t="s">
        <v>61</v>
      </c>
      <c r="C13" s="1" t="s">
        <v>62</v>
      </c>
      <c r="D13" s="1">
        <v>1.875</v>
      </c>
      <c r="E13" s="1" t="s">
        <v>6</v>
      </c>
      <c r="F13" s="1">
        <f t="shared" si="0"/>
        <v>0</v>
      </c>
      <c r="G13" s="1"/>
      <c r="H13" s="1"/>
    </row>
    <row r="14" spans="1:8" ht="20" customHeight="1">
      <c r="A14" s="1" t="s">
        <v>54</v>
      </c>
      <c r="B14" s="1" t="s">
        <v>63</v>
      </c>
      <c r="C14" s="1" t="s">
        <v>64</v>
      </c>
      <c r="D14" s="1">
        <v>1.875</v>
      </c>
      <c r="E14" s="1" t="s">
        <v>8</v>
      </c>
      <c r="F14" s="1">
        <f t="shared" si="0"/>
        <v>0.46875</v>
      </c>
      <c r="G14" s="1"/>
      <c r="H14" s="1"/>
    </row>
    <row r="15" spans="1:8" ht="30">
      <c r="A15" s="1" t="s">
        <v>54</v>
      </c>
      <c r="B15" s="1" t="s">
        <v>65</v>
      </c>
      <c r="C15" s="1" t="s">
        <v>66</v>
      </c>
      <c r="D15" s="1">
        <v>1.875</v>
      </c>
      <c r="E15" s="1" t="s">
        <v>6</v>
      </c>
      <c r="F15" s="1">
        <f t="shared" si="0"/>
        <v>0</v>
      </c>
      <c r="G15" s="1"/>
      <c r="H15" s="1"/>
    </row>
    <row r="16" spans="1:8" ht="20" customHeight="1">
      <c r="A16" s="1" t="s">
        <v>54</v>
      </c>
      <c r="B16" s="1" t="s">
        <v>67</v>
      </c>
      <c r="C16" s="1" t="s">
        <v>68</v>
      </c>
      <c r="D16" s="1">
        <v>1.875</v>
      </c>
      <c r="E16" s="1" t="s">
        <v>8</v>
      </c>
      <c r="F16" s="1">
        <f t="shared" si="0"/>
        <v>0.46875</v>
      </c>
      <c r="G16" s="1"/>
      <c r="H16" s="1"/>
    </row>
    <row r="17" spans="1:8" ht="20" customHeight="1">
      <c r="A17" s="1" t="s">
        <v>54</v>
      </c>
      <c r="B17" s="1" t="s">
        <v>69</v>
      </c>
      <c r="C17" s="1" t="s">
        <v>70</v>
      </c>
      <c r="D17" s="1">
        <v>1.875</v>
      </c>
      <c r="E17" s="1" t="s">
        <v>8</v>
      </c>
      <c r="F17" s="1">
        <f t="shared" si="0"/>
        <v>0.46875</v>
      </c>
      <c r="G17" s="1"/>
      <c r="H17" s="1"/>
    </row>
    <row r="18" spans="1:8" ht="20" customHeight="1">
      <c r="A18" s="1" t="s">
        <v>71</v>
      </c>
      <c r="B18" s="1" t="s">
        <v>72</v>
      </c>
      <c r="C18" s="1" t="s">
        <v>73</v>
      </c>
      <c r="D18" s="1">
        <v>1.875</v>
      </c>
      <c r="E18" s="1" t="s">
        <v>8</v>
      </c>
      <c r="F18" s="1">
        <f t="shared" si="0"/>
        <v>0.46875</v>
      </c>
      <c r="G18" s="1"/>
      <c r="H18" s="1"/>
    </row>
    <row r="19" spans="1:8" ht="15">
      <c r="A19" s="1" t="s">
        <v>71</v>
      </c>
      <c r="B19" s="1" t="s">
        <v>74</v>
      </c>
      <c r="C19" s="1" t="s">
        <v>75</v>
      </c>
      <c r="D19" s="1">
        <v>1.875</v>
      </c>
      <c r="E19" s="1" t="s">
        <v>12</v>
      </c>
      <c r="F19" s="1">
        <f t="shared" si="0"/>
        <v>1.40625</v>
      </c>
      <c r="G19" s="1"/>
      <c r="H19" s="1"/>
    </row>
    <row r="20" spans="1:8" ht="30">
      <c r="A20" s="1" t="s">
        <v>71</v>
      </c>
      <c r="B20" s="1" t="s">
        <v>76</v>
      </c>
      <c r="C20" s="1" t="s">
        <v>77</v>
      </c>
      <c r="D20" s="1">
        <v>1.875</v>
      </c>
      <c r="E20" s="1" t="s">
        <v>8</v>
      </c>
      <c r="F20" s="1">
        <f t="shared" si="0"/>
        <v>0.46875</v>
      </c>
      <c r="G20" s="1"/>
      <c r="H20" s="1"/>
    </row>
    <row r="21" spans="1:8" ht="30">
      <c r="A21" s="1" t="s">
        <v>71</v>
      </c>
      <c r="B21" s="1" t="s">
        <v>78</v>
      </c>
      <c r="C21" s="1" t="s">
        <v>79</v>
      </c>
      <c r="D21" s="1">
        <v>1.875</v>
      </c>
      <c r="E21" s="1" t="s">
        <v>14</v>
      </c>
      <c r="F21" s="1">
        <f t="shared" si="0"/>
        <v>1.875</v>
      </c>
      <c r="G21" s="1"/>
      <c r="H21" s="1"/>
    </row>
    <row r="22" spans="1:8" ht="30">
      <c r="A22" s="1" t="s">
        <v>71</v>
      </c>
      <c r="B22" s="1" t="s">
        <v>80</v>
      </c>
      <c r="C22" s="1" t="s">
        <v>81</v>
      </c>
      <c r="D22" s="1">
        <v>1.875</v>
      </c>
      <c r="E22" s="1" t="s">
        <v>12</v>
      </c>
      <c r="F22" s="1">
        <f t="shared" si="0"/>
        <v>1.40625</v>
      </c>
      <c r="G22" s="1"/>
      <c r="H22" s="1"/>
    </row>
    <row r="23" spans="1:8" ht="15">
      <c r="A23" s="1" t="s">
        <v>71</v>
      </c>
      <c r="B23" s="1" t="s">
        <v>82</v>
      </c>
      <c r="C23" s="1" t="s">
        <v>83</v>
      </c>
      <c r="D23" s="1">
        <v>1.875</v>
      </c>
      <c r="E23" s="1" t="s">
        <v>14</v>
      </c>
      <c r="F23" s="1">
        <f t="shared" si="0"/>
        <v>1.875</v>
      </c>
      <c r="G23" s="1"/>
      <c r="H23" s="1"/>
    </row>
    <row r="24" spans="1:8" ht="30">
      <c r="A24" s="1" t="s">
        <v>71</v>
      </c>
      <c r="B24" s="1" t="s">
        <v>84</v>
      </c>
      <c r="C24" s="1" t="s">
        <v>85</v>
      </c>
      <c r="D24" s="1">
        <v>1.875</v>
      </c>
      <c r="E24" s="1" t="s">
        <v>8</v>
      </c>
      <c r="F24" s="1">
        <f t="shared" si="0"/>
        <v>0.46875</v>
      </c>
      <c r="G24" s="1"/>
      <c r="H24" s="1"/>
    </row>
    <row r="25" spans="1:8" ht="20" customHeight="1">
      <c r="A25" s="1" t="s">
        <v>71</v>
      </c>
      <c r="B25" s="1" t="s">
        <v>86</v>
      </c>
      <c r="C25" s="1" t="s">
        <v>87</v>
      </c>
      <c r="D25" s="1">
        <v>1.875</v>
      </c>
      <c r="E25" s="1" t="s">
        <v>8</v>
      </c>
      <c r="F25" s="1">
        <f t="shared" si="0"/>
        <v>0.46875</v>
      </c>
      <c r="G25" s="1"/>
      <c r="H25" s="1"/>
    </row>
    <row r="26" spans="1:8" ht="20" customHeight="1">
      <c r="A26" s="1" t="s">
        <v>88</v>
      </c>
      <c r="B26" s="1" t="s">
        <v>89</v>
      </c>
      <c r="C26" s="1" t="s">
        <v>90</v>
      </c>
      <c r="D26" s="1">
        <v>1.25</v>
      </c>
      <c r="E26" s="1" t="s">
        <v>12</v>
      </c>
      <c r="F26" s="1">
        <f t="shared" si="0"/>
        <v>0.9375</v>
      </c>
      <c r="G26" s="1"/>
      <c r="H26" s="1"/>
    </row>
    <row r="27" spans="1:8" ht="20" customHeight="1">
      <c r="A27" s="1" t="s">
        <v>88</v>
      </c>
      <c r="B27" s="1" t="s">
        <v>91</v>
      </c>
      <c r="C27" s="1" t="s">
        <v>92</v>
      </c>
      <c r="D27" s="1">
        <v>1.25</v>
      </c>
      <c r="E27" s="1" t="s">
        <v>8</v>
      </c>
      <c r="F27" s="1">
        <f t="shared" si="0"/>
        <v>0.3125</v>
      </c>
      <c r="G27" s="1"/>
      <c r="H27" s="1"/>
    </row>
    <row r="28" spans="1:8" ht="20" customHeight="1">
      <c r="A28" s="1" t="s">
        <v>88</v>
      </c>
      <c r="B28" s="1" t="s">
        <v>93</v>
      </c>
      <c r="C28" s="1" t="s">
        <v>94</v>
      </c>
      <c r="D28" s="1">
        <v>1.25</v>
      </c>
      <c r="E28" s="1" t="s">
        <v>10</v>
      </c>
      <c r="F28" s="1">
        <f t="shared" si="0"/>
        <v>0.625</v>
      </c>
      <c r="G28" s="1"/>
      <c r="H28" s="1"/>
    </row>
    <row r="29" spans="1:8" ht="20" customHeight="1">
      <c r="A29" s="1" t="s">
        <v>88</v>
      </c>
      <c r="B29" s="1" t="s">
        <v>95</v>
      </c>
      <c r="C29" s="1" t="s">
        <v>96</v>
      </c>
      <c r="D29" s="1">
        <v>1.25</v>
      </c>
      <c r="E29" s="1" t="s">
        <v>8</v>
      </c>
      <c r="F29" s="1">
        <f t="shared" si="0"/>
        <v>0.3125</v>
      </c>
      <c r="G29" s="1"/>
      <c r="H29" s="1"/>
    </row>
    <row r="30" spans="1:8" ht="30">
      <c r="A30" s="1" t="s">
        <v>88</v>
      </c>
      <c r="B30" s="1" t="s">
        <v>97</v>
      </c>
      <c r="C30" s="1" t="s">
        <v>98</v>
      </c>
      <c r="D30" s="1">
        <v>1.25</v>
      </c>
      <c r="E30" s="1" t="s">
        <v>10</v>
      </c>
      <c r="F30" s="1">
        <f t="shared" si="0"/>
        <v>0.625</v>
      </c>
      <c r="G30" s="1"/>
      <c r="H30" s="1"/>
    </row>
    <row r="31" spans="1:8" ht="20" customHeight="1">
      <c r="A31" s="1" t="s">
        <v>88</v>
      </c>
      <c r="B31" s="1" t="s">
        <v>99</v>
      </c>
      <c r="C31" s="1" t="s">
        <v>100</v>
      </c>
      <c r="D31" s="1">
        <v>1.25</v>
      </c>
      <c r="E31" s="1" t="s">
        <v>6</v>
      </c>
      <c r="F31" s="1">
        <f t="shared" si="0"/>
        <v>0</v>
      </c>
      <c r="G31" s="1"/>
      <c r="H31" s="1"/>
    </row>
    <row r="32" spans="1:8" ht="15">
      <c r="A32" s="1" t="s">
        <v>88</v>
      </c>
      <c r="B32" s="1" t="s">
        <v>101</v>
      </c>
      <c r="C32" s="1" t="s">
        <v>102</v>
      </c>
      <c r="D32" s="1">
        <v>1.25</v>
      </c>
      <c r="E32" s="1" t="s">
        <v>6</v>
      </c>
      <c r="F32" s="1">
        <f t="shared" si="0"/>
        <v>0</v>
      </c>
      <c r="G32" s="1"/>
      <c r="H32" s="1"/>
    </row>
    <row r="33" spans="1:8" ht="30">
      <c r="A33" s="1" t="s">
        <v>88</v>
      </c>
      <c r="B33" s="1" t="s">
        <v>103</v>
      </c>
      <c r="C33" s="1" t="s">
        <v>104</v>
      </c>
      <c r="D33" s="1">
        <v>1.25</v>
      </c>
      <c r="E33" s="1" t="s">
        <v>10</v>
      </c>
      <c r="F33" s="1">
        <f t="shared" si="0"/>
        <v>0.625</v>
      </c>
      <c r="G33" s="1"/>
      <c r="H33" s="1"/>
    </row>
    <row r="34" spans="1:8" ht="20" customHeight="1">
      <c r="A34" s="1" t="s">
        <v>105</v>
      </c>
      <c r="B34" s="1" t="s">
        <v>106</v>
      </c>
      <c r="C34" s="1" t="s">
        <v>107</v>
      </c>
      <c r="D34" s="1">
        <v>1.25</v>
      </c>
      <c r="E34" s="1" t="s">
        <v>8</v>
      </c>
      <c r="F34" s="1">
        <f t="shared" ref="F34:F65" si="1">IF(E34="A",0,IF(E34="B",D34*0.25,IF(E34="C",D34*0.5,IF(E34="D",D34*0.75,IF(E34="E",D34,"")))))</f>
        <v>0.3125</v>
      </c>
      <c r="G34" s="1"/>
      <c r="H34" s="1"/>
    </row>
    <row r="35" spans="1:8" ht="20" customHeight="1">
      <c r="A35" s="1" t="s">
        <v>105</v>
      </c>
      <c r="B35" s="1" t="s">
        <v>108</v>
      </c>
      <c r="C35" s="1" t="s">
        <v>109</v>
      </c>
      <c r="D35" s="1">
        <v>1.25</v>
      </c>
      <c r="E35" s="1" t="s">
        <v>12</v>
      </c>
      <c r="F35" s="1">
        <f t="shared" si="1"/>
        <v>0.9375</v>
      </c>
      <c r="G35" s="1"/>
      <c r="H35" s="1"/>
    </row>
    <row r="36" spans="1:8" ht="20" customHeight="1">
      <c r="A36" s="1" t="s">
        <v>105</v>
      </c>
      <c r="B36" s="1" t="s">
        <v>110</v>
      </c>
      <c r="C36" s="1" t="s">
        <v>111</v>
      </c>
      <c r="D36" s="1">
        <v>1.25</v>
      </c>
      <c r="E36" s="1" t="s">
        <v>6</v>
      </c>
      <c r="F36" s="1">
        <f t="shared" si="1"/>
        <v>0</v>
      </c>
      <c r="G36" s="1"/>
      <c r="H36" s="1"/>
    </row>
    <row r="37" spans="1:8" ht="20" customHeight="1">
      <c r="A37" s="1" t="s">
        <v>105</v>
      </c>
      <c r="B37" s="1" t="s">
        <v>112</v>
      </c>
      <c r="C37" s="1" t="s">
        <v>113</v>
      </c>
      <c r="D37" s="1">
        <v>1.25</v>
      </c>
      <c r="E37" s="1" t="s">
        <v>6</v>
      </c>
      <c r="F37" s="1">
        <f t="shared" si="1"/>
        <v>0</v>
      </c>
      <c r="G37" s="1"/>
      <c r="H37" s="1"/>
    </row>
    <row r="38" spans="1:8" ht="20" customHeight="1">
      <c r="A38" s="1" t="s">
        <v>105</v>
      </c>
      <c r="B38" s="1" t="s">
        <v>114</v>
      </c>
      <c r="C38" s="1" t="s">
        <v>115</v>
      </c>
      <c r="D38" s="1">
        <v>1.25</v>
      </c>
      <c r="E38" s="1" t="s">
        <v>6</v>
      </c>
      <c r="F38" s="1">
        <f t="shared" si="1"/>
        <v>0</v>
      </c>
      <c r="G38" s="1"/>
      <c r="H38" s="1"/>
    </row>
    <row r="39" spans="1:8" ht="30">
      <c r="A39" s="1" t="s">
        <v>105</v>
      </c>
      <c r="B39" s="1" t="s">
        <v>116</v>
      </c>
      <c r="C39" s="1" t="s">
        <v>117</v>
      </c>
      <c r="D39" s="1">
        <v>1.25</v>
      </c>
      <c r="E39" s="1" t="s">
        <v>6</v>
      </c>
      <c r="F39" s="1">
        <f t="shared" si="1"/>
        <v>0</v>
      </c>
      <c r="G39" s="1"/>
      <c r="H39" s="1"/>
    </row>
    <row r="40" spans="1:8" ht="30">
      <c r="A40" s="1" t="s">
        <v>105</v>
      </c>
      <c r="B40" s="1" t="s">
        <v>118</v>
      </c>
      <c r="C40" s="1" t="s">
        <v>119</v>
      </c>
      <c r="D40" s="1">
        <v>1.25</v>
      </c>
      <c r="E40" s="1" t="s">
        <v>6</v>
      </c>
      <c r="F40" s="1">
        <f t="shared" si="1"/>
        <v>0</v>
      </c>
      <c r="G40" s="1"/>
      <c r="H40" s="1"/>
    </row>
    <row r="41" spans="1:8" ht="20" customHeight="1">
      <c r="A41" s="1" t="s">
        <v>105</v>
      </c>
      <c r="B41" s="1" t="s">
        <v>120</v>
      </c>
      <c r="C41" s="1" t="s">
        <v>121</v>
      </c>
      <c r="D41" s="1">
        <v>1.25</v>
      </c>
      <c r="E41" s="1" t="s">
        <v>6</v>
      </c>
      <c r="F41" s="1">
        <f t="shared" si="1"/>
        <v>0</v>
      </c>
      <c r="G41" s="1"/>
      <c r="H41" s="1"/>
    </row>
    <row r="42" spans="1:8" ht="20" customHeight="1">
      <c r="A42" s="1" t="s">
        <v>122</v>
      </c>
      <c r="B42" s="1" t="s">
        <v>123</v>
      </c>
      <c r="C42" s="1" t="s">
        <v>124</v>
      </c>
      <c r="D42" s="1">
        <v>1.25</v>
      </c>
      <c r="E42" s="1" t="s">
        <v>10</v>
      </c>
      <c r="F42" s="1">
        <f t="shared" si="1"/>
        <v>0.625</v>
      </c>
      <c r="G42" s="1"/>
      <c r="H42" s="1"/>
    </row>
    <row r="43" spans="1:8" ht="20" customHeight="1">
      <c r="A43" s="1" t="s">
        <v>122</v>
      </c>
      <c r="B43" s="1" t="s">
        <v>125</v>
      </c>
      <c r="C43" s="1" t="s">
        <v>126</v>
      </c>
      <c r="D43" s="1">
        <v>1.25</v>
      </c>
      <c r="E43" s="1" t="s">
        <v>12</v>
      </c>
      <c r="F43" s="1">
        <f t="shared" si="1"/>
        <v>0.9375</v>
      </c>
      <c r="G43" s="1"/>
      <c r="H43" s="1"/>
    </row>
    <row r="44" spans="1:8" ht="20" customHeight="1">
      <c r="A44" s="1" t="s">
        <v>122</v>
      </c>
      <c r="B44" s="1" t="s">
        <v>127</v>
      </c>
      <c r="C44" s="1" t="s">
        <v>128</v>
      </c>
      <c r="D44" s="1">
        <v>1.25</v>
      </c>
      <c r="E44" s="1" t="s">
        <v>12</v>
      </c>
      <c r="F44" s="1">
        <f t="shared" si="1"/>
        <v>0.9375</v>
      </c>
      <c r="G44" s="1"/>
      <c r="H44" s="1"/>
    </row>
    <row r="45" spans="1:8" ht="20" customHeight="1">
      <c r="A45" s="1" t="s">
        <v>122</v>
      </c>
      <c r="B45" s="1" t="s">
        <v>129</v>
      </c>
      <c r="C45" s="1" t="s">
        <v>130</v>
      </c>
      <c r="D45" s="1">
        <v>1.25</v>
      </c>
      <c r="E45" s="1" t="s">
        <v>12</v>
      </c>
      <c r="F45" s="1">
        <f t="shared" si="1"/>
        <v>0.9375</v>
      </c>
      <c r="G45" s="1"/>
      <c r="H45" s="1"/>
    </row>
    <row r="46" spans="1:8" ht="20" customHeight="1">
      <c r="A46" s="1" t="s">
        <v>122</v>
      </c>
      <c r="B46" s="1" t="s">
        <v>131</v>
      </c>
      <c r="C46" s="1" t="s">
        <v>132</v>
      </c>
      <c r="D46" s="1">
        <v>1.25</v>
      </c>
      <c r="E46" s="1" t="s">
        <v>12</v>
      </c>
      <c r="F46" s="1">
        <f t="shared" si="1"/>
        <v>0.9375</v>
      </c>
      <c r="G46" s="1"/>
      <c r="H46" s="1"/>
    </row>
    <row r="47" spans="1:8" ht="20" customHeight="1">
      <c r="A47" s="1" t="s">
        <v>122</v>
      </c>
      <c r="B47" s="1" t="s">
        <v>133</v>
      </c>
      <c r="C47" s="1" t="s">
        <v>134</v>
      </c>
      <c r="D47" s="1">
        <v>1.25</v>
      </c>
      <c r="E47" s="1" t="s">
        <v>10</v>
      </c>
      <c r="F47" s="1">
        <f t="shared" si="1"/>
        <v>0.625</v>
      </c>
      <c r="G47" s="1"/>
      <c r="H47" s="1"/>
    </row>
    <row r="48" spans="1:8" ht="20" customHeight="1">
      <c r="A48" s="1" t="s">
        <v>122</v>
      </c>
      <c r="B48" s="1" t="s">
        <v>135</v>
      </c>
      <c r="C48" s="1" t="s">
        <v>136</v>
      </c>
      <c r="D48" s="1">
        <v>1.25</v>
      </c>
      <c r="E48" s="1" t="s">
        <v>10</v>
      </c>
      <c r="F48" s="1">
        <f t="shared" si="1"/>
        <v>0.625</v>
      </c>
      <c r="G48" s="1"/>
      <c r="H48" s="1"/>
    </row>
    <row r="49" spans="1:8" ht="20" customHeight="1">
      <c r="A49" s="1" t="s">
        <v>122</v>
      </c>
      <c r="B49" s="1" t="s">
        <v>137</v>
      </c>
      <c r="C49" s="1" t="s">
        <v>138</v>
      </c>
      <c r="D49" s="1">
        <v>1.25</v>
      </c>
      <c r="E49" s="1" t="s">
        <v>8</v>
      </c>
      <c r="F49" s="1">
        <f>IF(E49="A",0,IF(E49="B",D49*0.25,IF(E49="C",D49*0.5,IF(E49="D",D49*0.75,IF(E49="E",D49,"")))))</f>
        <v>0.3125</v>
      </c>
      <c r="G49" s="1"/>
      <c r="H49" s="1"/>
    </row>
    <row r="50" spans="1:8" ht="20" customHeight="1">
      <c r="A50" s="1" t="s">
        <v>139</v>
      </c>
      <c r="B50" s="1" t="s">
        <v>140</v>
      </c>
      <c r="C50" s="1" t="s">
        <v>141</v>
      </c>
      <c r="D50" s="1">
        <v>1.25</v>
      </c>
      <c r="E50" s="1" t="s">
        <v>8</v>
      </c>
      <c r="F50" s="1">
        <f>IF(E50="A",0,IF(E50="B",D50*0.25,IF(E50="C",D50*0.5,IF(E50="D",D50*0.75,IF(E50="E",D50,"")))))</f>
        <v>0.3125</v>
      </c>
      <c r="G50" s="1"/>
      <c r="H50" s="1"/>
    </row>
    <row r="51" spans="1:8" ht="20" customHeight="1">
      <c r="A51" s="1" t="s">
        <v>139</v>
      </c>
      <c r="B51" s="1" t="s">
        <v>142</v>
      </c>
      <c r="C51" s="1" t="s">
        <v>143</v>
      </c>
      <c r="D51" s="1">
        <v>1.25</v>
      </c>
      <c r="E51" s="1" t="s">
        <v>12</v>
      </c>
      <c r="F51" s="1">
        <f t="shared" si="1"/>
        <v>0.9375</v>
      </c>
      <c r="G51" s="1"/>
      <c r="H51" s="1"/>
    </row>
    <row r="52" spans="1:8" ht="20" customHeight="1">
      <c r="A52" s="1" t="s">
        <v>139</v>
      </c>
      <c r="B52" s="1" t="s">
        <v>144</v>
      </c>
      <c r="C52" s="1" t="s">
        <v>145</v>
      </c>
      <c r="D52" s="1">
        <v>1.25</v>
      </c>
      <c r="E52" s="1" t="s">
        <v>10</v>
      </c>
      <c r="F52" s="1">
        <f t="shared" si="1"/>
        <v>0.625</v>
      </c>
      <c r="G52" s="1"/>
      <c r="H52" s="1"/>
    </row>
    <row r="53" spans="1:8" ht="20" customHeight="1">
      <c r="A53" s="1" t="s">
        <v>139</v>
      </c>
      <c r="B53" s="1" t="s">
        <v>146</v>
      </c>
      <c r="C53" s="1" t="s">
        <v>147</v>
      </c>
      <c r="D53" s="1">
        <v>1.25</v>
      </c>
      <c r="E53" s="1" t="s">
        <v>10</v>
      </c>
      <c r="F53" s="1">
        <f t="shared" si="1"/>
        <v>0.625</v>
      </c>
      <c r="G53" s="1"/>
      <c r="H53" s="1"/>
    </row>
    <row r="54" spans="1:8" ht="20" customHeight="1">
      <c r="A54" s="1" t="s">
        <v>139</v>
      </c>
      <c r="B54" s="1" t="s">
        <v>148</v>
      </c>
      <c r="C54" s="1" t="s">
        <v>149</v>
      </c>
      <c r="D54" s="1">
        <v>1.25</v>
      </c>
      <c r="E54" s="1" t="s">
        <v>8</v>
      </c>
      <c r="F54" s="1">
        <f t="shared" si="1"/>
        <v>0.3125</v>
      </c>
      <c r="G54" s="1"/>
      <c r="H54" s="1"/>
    </row>
    <row r="55" spans="1:8" ht="20" customHeight="1">
      <c r="A55" s="1" t="s">
        <v>139</v>
      </c>
      <c r="B55" s="1" t="s">
        <v>150</v>
      </c>
      <c r="C55" s="1" t="s">
        <v>151</v>
      </c>
      <c r="D55" s="1">
        <v>1.25</v>
      </c>
      <c r="E55" s="1" t="s">
        <v>6</v>
      </c>
      <c r="F55" s="1">
        <f t="shared" si="1"/>
        <v>0</v>
      </c>
      <c r="G55" s="1"/>
      <c r="H55" s="1"/>
    </row>
    <row r="56" spans="1:8" ht="20" customHeight="1">
      <c r="A56" s="1" t="s">
        <v>139</v>
      </c>
      <c r="B56" s="1" t="s">
        <v>152</v>
      </c>
      <c r="C56" s="1" t="s">
        <v>153</v>
      </c>
      <c r="D56" s="1">
        <v>1.25</v>
      </c>
      <c r="E56" s="1" t="s">
        <v>6</v>
      </c>
      <c r="F56" s="1">
        <f t="shared" si="1"/>
        <v>0</v>
      </c>
      <c r="G56" s="1"/>
      <c r="H56" s="1"/>
    </row>
    <row r="57" spans="1:8" ht="20" customHeight="1">
      <c r="A57" s="1" t="s">
        <v>139</v>
      </c>
      <c r="B57" s="1" t="s">
        <v>154</v>
      </c>
      <c r="C57" s="1" t="s">
        <v>155</v>
      </c>
      <c r="D57" s="1">
        <v>1.25</v>
      </c>
      <c r="E57" s="1" t="s">
        <v>6</v>
      </c>
      <c r="F57" s="1">
        <f t="shared" si="1"/>
        <v>0</v>
      </c>
      <c r="G57" s="1"/>
      <c r="H57" s="1"/>
    </row>
    <row r="58" spans="1:8" ht="20" customHeight="1">
      <c r="A58" s="1" t="s">
        <v>156</v>
      </c>
      <c r="B58" s="1" t="s">
        <v>157</v>
      </c>
      <c r="C58" s="1" t="s">
        <v>158</v>
      </c>
      <c r="D58" s="1">
        <v>0.625</v>
      </c>
      <c r="E58" s="1" t="s">
        <v>8</v>
      </c>
      <c r="F58" s="1">
        <f t="shared" si="1"/>
        <v>0.15625</v>
      </c>
      <c r="G58" s="1"/>
      <c r="H58" s="1"/>
    </row>
    <row r="59" spans="1:8" ht="20" customHeight="1">
      <c r="A59" s="1" t="s">
        <v>156</v>
      </c>
      <c r="B59" s="1" t="s">
        <v>159</v>
      </c>
      <c r="C59" s="1" t="s">
        <v>160</v>
      </c>
      <c r="D59" s="1">
        <v>0.625</v>
      </c>
      <c r="E59" s="1" t="s">
        <v>12</v>
      </c>
      <c r="F59" s="1">
        <f t="shared" si="1"/>
        <v>0.46875</v>
      </c>
      <c r="G59" s="1"/>
      <c r="H59" s="1"/>
    </row>
    <row r="60" spans="1:8" ht="20" customHeight="1">
      <c r="A60" s="1" t="s">
        <v>156</v>
      </c>
      <c r="B60" s="1" t="s">
        <v>161</v>
      </c>
      <c r="C60" s="1" t="s">
        <v>162</v>
      </c>
      <c r="D60" s="1">
        <v>0.625</v>
      </c>
      <c r="E60" s="1" t="s">
        <v>6</v>
      </c>
      <c r="F60" s="1">
        <f t="shared" si="1"/>
        <v>0</v>
      </c>
      <c r="G60" s="1"/>
      <c r="H60" s="1"/>
    </row>
    <row r="61" spans="1:8" ht="20" customHeight="1">
      <c r="A61" s="1" t="s">
        <v>156</v>
      </c>
      <c r="B61" s="1" t="s">
        <v>163</v>
      </c>
      <c r="C61" s="1" t="s">
        <v>164</v>
      </c>
      <c r="D61" s="1">
        <v>0.625</v>
      </c>
      <c r="E61" s="1" t="s">
        <v>6</v>
      </c>
      <c r="F61" s="1">
        <f t="shared" si="1"/>
        <v>0</v>
      </c>
      <c r="G61" s="1"/>
      <c r="H61" s="1"/>
    </row>
    <row r="62" spans="1:8" ht="20" customHeight="1">
      <c r="A62" s="1" t="s">
        <v>156</v>
      </c>
      <c r="B62" s="1" t="s">
        <v>165</v>
      </c>
      <c r="C62" s="1" t="s">
        <v>166</v>
      </c>
      <c r="D62" s="1">
        <v>0.625</v>
      </c>
      <c r="E62" s="1" t="s">
        <v>6</v>
      </c>
      <c r="F62" s="1">
        <f t="shared" si="1"/>
        <v>0</v>
      </c>
      <c r="G62" s="1"/>
      <c r="H62" s="1"/>
    </row>
    <row r="63" spans="1:8" ht="20" customHeight="1">
      <c r="A63" s="1" t="s">
        <v>156</v>
      </c>
      <c r="B63" s="1" t="s">
        <v>167</v>
      </c>
      <c r="C63" s="1" t="s">
        <v>168</v>
      </c>
      <c r="D63" s="1">
        <v>0.625</v>
      </c>
      <c r="E63" s="1" t="s">
        <v>8</v>
      </c>
      <c r="F63" s="1">
        <f t="shared" si="1"/>
        <v>0.15625</v>
      </c>
      <c r="G63" s="1"/>
      <c r="H63" s="1"/>
    </row>
    <row r="64" spans="1:8" ht="30">
      <c r="A64" s="1" t="s">
        <v>156</v>
      </c>
      <c r="B64" s="1" t="s">
        <v>169</v>
      </c>
      <c r="C64" s="1" t="s">
        <v>170</v>
      </c>
      <c r="D64" s="1">
        <v>0.625</v>
      </c>
      <c r="E64" s="1" t="s">
        <v>10</v>
      </c>
      <c r="F64" s="1">
        <f t="shared" si="1"/>
        <v>0.3125</v>
      </c>
      <c r="G64" s="1"/>
      <c r="H64" s="1"/>
    </row>
    <row r="65" spans="1:8" ht="20" customHeight="1">
      <c r="A65" s="1" t="s">
        <v>156</v>
      </c>
      <c r="B65" s="1" t="s">
        <v>171</v>
      </c>
      <c r="C65" s="1" t="s">
        <v>172</v>
      </c>
      <c r="D65" s="1">
        <v>0.625</v>
      </c>
      <c r="E65" s="1" t="s">
        <v>6</v>
      </c>
      <c r="F65" s="1">
        <f t="shared" si="1"/>
        <v>0</v>
      </c>
      <c r="G65" s="1"/>
      <c r="H65" s="1"/>
    </row>
    <row r="66" spans="1:8" ht="20" customHeight="1">
      <c r="A66" s="1" t="s">
        <v>173</v>
      </c>
      <c r="B66" s="1" t="s">
        <v>174</v>
      </c>
      <c r="C66" s="1" t="s">
        <v>175</v>
      </c>
      <c r="D66" s="1">
        <v>0.625</v>
      </c>
      <c r="E66" s="1" t="s">
        <v>14</v>
      </c>
      <c r="F66" s="1">
        <f t="shared" ref="F66:F97" si="2">IF(E66="A",0,IF(E66="B",D66*0.25,IF(E66="C",D66*0.5,IF(E66="D",D66*0.75,IF(E66="E",D66,"")))))</f>
        <v>0.625</v>
      </c>
      <c r="G66" s="1"/>
      <c r="H66" s="1"/>
    </row>
    <row r="67" spans="1:8" ht="20" customHeight="1">
      <c r="A67" s="1" t="s">
        <v>173</v>
      </c>
      <c r="B67" s="1" t="s">
        <v>176</v>
      </c>
      <c r="C67" s="1" t="s">
        <v>177</v>
      </c>
      <c r="D67" s="1">
        <v>0.625</v>
      </c>
      <c r="E67" s="1" t="s">
        <v>14</v>
      </c>
      <c r="F67" s="1">
        <f t="shared" si="2"/>
        <v>0.625</v>
      </c>
      <c r="G67" s="1"/>
      <c r="H67" s="1"/>
    </row>
    <row r="68" spans="1:8" ht="20" customHeight="1">
      <c r="A68" s="1" t="s">
        <v>173</v>
      </c>
      <c r="B68" s="1" t="s">
        <v>178</v>
      </c>
      <c r="C68" s="1" t="s">
        <v>179</v>
      </c>
      <c r="D68" s="1">
        <v>0.625</v>
      </c>
      <c r="E68" s="1" t="s">
        <v>8</v>
      </c>
      <c r="F68" s="1">
        <f t="shared" si="2"/>
        <v>0.15625</v>
      </c>
      <c r="G68" s="1"/>
      <c r="H68" s="1"/>
    </row>
    <row r="69" spans="1:8" ht="20" customHeight="1">
      <c r="A69" s="1" t="s">
        <v>173</v>
      </c>
      <c r="B69" s="1" t="s">
        <v>180</v>
      </c>
      <c r="C69" s="1" t="s">
        <v>181</v>
      </c>
      <c r="D69" s="1">
        <v>0.625</v>
      </c>
      <c r="E69" s="1" t="s">
        <v>12</v>
      </c>
      <c r="F69" s="1">
        <f t="shared" si="2"/>
        <v>0.46875</v>
      </c>
      <c r="G69" s="1"/>
      <c r="H69" s="1"/>
    </row>
    <row r="70" spans="1:8" ht="20" customHeight="1">
      <c r="A70" s="1" t="s">
        <v>173</v>
      </c>
      <c r="B70" s="1" t="s">
        <v>182</v>
      </c>
      <c r="C70" s="1" t="s">
        <v>183</v>
      </c>
      <c r="D70" s="1">
        <v>0.625</v>
      </c>
      <c r="E70" s="1" t="s">
        <v>8</v>
      </c>
      <c r="F70" s="1">
        <f t="shared" si="2"/>
        <v>0.15625</v>
      </c>
      <c r="G70" s="1"/>
      <c r="H70" s="1"/>
    </row>
    <row r="71" spans="1:8" ht="20" customHeight="1">
      <c r="A71" s="1" t="s">
        <v>173</v>
      </c>
      <c r="B71" s="1" t="s">
        <v>184</v>
      </c>
      <c r="C71" s="1" t="s">
        <v>185</v>
      </c>
      <c r="D71" s="1">
        <v>0.625</v>
      </c>
      <c r="E71" s="1" t="s">
        <v>8</v>
      </c>
      <c r="F71" s="1">
        <f t="shared" si="2"/>
        <v>0.15625</v>
      </c>
      <c r="G71" s="1"/>
      <c r="H71" s="1"/>
    </row>
    <row r="72" spans="1:8" ht="20" customHeight="1">
      <c r="A72" s="1" t="s">
        <v>173</v>
      </c>
      <c r="B72" s="1" t="s">
        <v>186</v>
      </c>
      <c r="C72" s="1" t="s">
        <v>187</v>
      </c>
      <c r="D72" s="1">
        <v>0.625</v>
      </c>
      <c r="E72" s="1" t="s">
        <v>8</v>
      </c>
      <c r="F72" s="1">
        <f t="shared" si="2"/>
        <v>0.15625</v>
      </c>
      <c r="G72" s="1"/>
      <c r="H72" s="1"/>
    </row>
    <row r="73" spans="1:8" ht="20" customHeight="1">
      <c r="A73" s="1" t="s">
        <v>173</v>
      </c>
      <c r="B73" s="1" t="s">
        <v>188</v>
      </c>
      <c r="C73" s="1" t="s">
        <v>189</v>
      </c>
      <c r="D73" s="1">
        <v>0.625</v>
      </c>
      <c r="E73" s="1" t="s">
        <v>12</v>
      </c>
      <c r="F73" s="1">
        <f t="shared" si="2"/>
        <v>0.46875</v>
      </c>
      <c r="G73" s="1"/>
      <c r="H73" s="1"/>
    </row>
    <row r="74" spans="1:8" ht="20" customHeight="1">
      <c r="A74" s="1" t="s">
        <v>190</v>
      </c>
      <c r="B74" s="1" t="s">
        <v>191</v>
      </c>
      <c r="C74" s="1" t="s">
        <v>192</v>
      </c>
      <c r="D74" s="1">
        <v>0.625</v>
      </c>
      <c r="E74" s="1" t="s">
        <v>12</v>
      </c>
      <c r="F74" s="1">
        <f t="shared" si="2"/>
        <v>0.46875</v>
      </c>
      <c r="G74" s="1"/>
      <c r="H74" s="1"/>
    </row>
    <row r="75" spans="1:8" ht="20" customHeight="1">
      <c r="A75" s="1" t="s">
        <v>190</v>
      </c>
      <c r="B75" s="1" t="s">
        <v>193</v>
      </c>
      <c r="C75" s="1" t="s">
        <v>194</v>
      </c>
      <c r="D75" s="1">
        <v>0.625</v>
      </c>
      <c r="E75" s="1" t="s">
        <v>12</v>
      </c>
      <c r="F75" s="1">
        <f t="shared" si="2"/>
        <v>0.46875</v>
      </c>
      <c r="G75" s="1"/>
      <c r="H75" s="1"/>
    </row>
    <row r="76" spans="1:8" ht="15">
      <c r="A76" s="1" t="s">
        <v>190</v>
      </c>
      <c r="B76" s="1" t="s">
        <v>195</v>
      </c>
      <c r="C76" s="1" t="s">
        <v>196</v>
      </c>
      <c r="D76" s="1">
        <v>0.625</v>
      </c>
      <c r="E76" s="1" t="s">
        <v>12</v>
      </c>
      <c r="F76" s="1">
        <f t="shared" si="2"/>
        <v>0.46875</v>
      </c>
      <c r="G76" s="1"/>
      <c r="H76" s="1"/>
    </row>
    <row r="77" spans="1:8" ht="30">
      <c r="A77" s="1" t="s">
        <v>190</v>
      </c>
      <c r="B77" s="1" t="s">
        <v>197</v>
      </c>
      <c r="C77" s="1" t="s">
        <v>198</v>
      </c>
      <c r="D77" s="1">
        <v>0.625</v>
      </c>
      <c r="E77" s="1" t="s">
        <v>14</v>
      </c>
      <c r="F77" s="1">
        <f t="shared" si="2"/>
        <v>0.625</v>
      </c>
      <c r="G77" s="1"/>
      <c r="H77" s="1"/>
    </row>
    <row r="78" spans="1:8" ht="20" customHeight="1">
      <c r="A78" s="1" t="s">
        <v>190</v>
      </c>
      <c r="B78" s="1" t="s">
        <v>199</v>
      </c>
      <c r="C78" s="1" t="s">
        <v>200</v>
      </c>
      <c r="D78" s="1">
        <v>0.625</v>
      </c>
      <c r="E78" s="1" t="s">
        <v>10</v>
      </c>
      <c r="F78" s="1">
        <f t="shared" si="2"/>
        <v>0.3125</v>
      </c>
      <c r="G78" s="1"/>
      <c r="H78" s="1"/>
    </row>
    <row r="79" spans="1:8" ht="20" customHeight="1">
      <c r="A79" s="1" t="s">
        <v>190</v>
      </c>
      <c r="B79" s="1" t="s">
        <v>201</v>
      </c>
      <c r="C79" s="1" t="s">
        <v>202</v>
      </c>
      <c r="D79" s="1">
        <v>0.625</v>
      </c>
      <c r="E79" s="1" t="s">
        <v>12</v>
      </c>
      <c r="F79" s="1">
        <f t="shared" si="2"/>
        <v>0.46875</v>
      </c>
      <c r="G79" s="1"/>
      <c r="H79" s="1"/>
    </row>
    <row r="80" spans="1:8" ht="20" customHeight="1">
      <c r="A80" s="1" t="s">
        <v>190</v>
      </c>
      <c r="B80" s="1" t="s">
        <v>203</v>
      </c>
      <c r="C80" s="1" t="s">
        <v>204</v>
      </c>
      <c r="D80" s="1">
        <v>0.625</v>
      </c>
      <c r="E80" s="1" t="s">
        <v>14</v>
      </c>
      <c r="F80" s="1">
        <f t="shared" si="2"/>
        <v>0.625</v>
      </c>
      <c r="G80" s="1"/>
      <c r="H80" s="1"/>
    </row>
    <row r="81" spans="1:8" ht="20" customHeight="1">
      <c r="A81" s="1" t="s">
        <v>190</v>
      </c>
      <c r="B81" s="1" t="s">
        <v>205</v>
      </c>
      <c r="C81" s="1" t="s">
        <v>206</v>
      </c>
      <c r="D81" s="1">
        <v>0.625</v>
      </c>
      <c r="E81" s="1" t="s">
        <v>12</v>
      </c>
      <c r="F81" s="1">
        <f t="shared" si="2"/>
        <v>0.46875</v>
      </c>
      <c r="G81" s="1"/>
      <c r="H81" s="1"/>
    </row>
    <row r="82" spans="1:8" ht="20" customHeight="1">
      <c r="A82" s="1"/>
      <c r="B82" s="1"/>
      <c r="C82" s="1"/>
      <c r="D82" s="1"/>
      <c r="E82" s="1"/>
      <c r="F82" s="1"/>
      <c r="G82" s="1"/>
      <c r="H82" s="1"/>
    </row>
    <row r="83" spans="1:8" ht="20" customHeight="1">
      <c r="A83" s="1"/>
      <c r="B83" s="1"/>
      <c r="C83" s="1"/>
      <c r="D83" s="1"/>
      <c r="E83" s="1"/>
      <c r="F83" s="1"/>
      <c r="G83" s="1"/>
      <c r="H83" s="1"/>
    </row>
    <row r="84" spans="1:8" ht="20" customHeight="1">
      <c r="A84" s="1"/>
      <c r="B84" s="1"/>
      <c r="C84" s="1"/>
      <c r="D84" s="1"/>
      <c r="E84" s="1"/>
      <c r="F84" s="1"/>
      <c r="G84" s="1"/>
      <c r="H84" s="1"/>
    </row>
    <row r="85" spans="1:8" ht="20" customHeight="1">
      <c r="A85" s="1"/>
      <c r="B85" s="1"/>
      <c r="C85" s="1"/>
      <c r="D85" s="1"/>
      <c r="E85" s="1"/>
      <c r="F85" s="1"/>
      <c r="G85" s="1"/>
      <c r="H85" s="1"/>
    </row>
    <row r="86" spans="1:8" ht="20" customHeight="1">
      <c r="A86" s="1"/>
      <c r="B86" s="1"/>
      <c r="C86" s="1"/>
      <c r="D86" s="1"/>
      <c r="E86" s="1"/>
      <c r="F86" s="1"/>
      <c r="G86" s="1"/>
      <c r="H86" s="1"/>
    </row>
    <row r="87" spans="1:8" ht="20" customHeight="1">
      <c r="A87" s="1"/>
      <c r="B87" s="1"/>
      <c r="C87" s="1"/>
      <c r="D87" s="1"/>
      <c r="E87" s="1"/>
      <c r="F87" s="1"/>
      <c r="G87" s="1"/>
      <c r="H87" s="1"/>
    </row>
    <row r="88" spans="1:8" ht="20" customHeight="1">
      <c r="A88" s="1"/>
      <c r="B88" s="1"/>
      <c r="C88" s="1"/>
      <c r="D88" s="1"/>
      <c r="E88" s="1"/>
      <c r="F88" s="1"/>
      <c r="G88" s="1"/>
      <c r="H88" s="1"/>
    </row>
    <row r="89" spans="1:8" ht="20" customHeight="1">
      <c r="A89" s="1"/>
      <c r="B89" s="1"/>
      <c r="C89" s="1"/>
      <c r="D89" s="1"/>
      <c r="E89" s="1"/>
      <c r="F89" s="1"/>
      <c r="G89" s="1"/>
      <c r="H89" s="1"/>
    </row>
    <row r="90" spans="1:8" ht="20" customHeight="1">
      <c r="A90" s="1"/>
      <c r="B90" s="1"/>
      <c r="C90" s="1"/>
      <c r="D90" s="1"/>
      <c r="E90" s="1"/>
      <c r="F90" s="1"/>
      <c r="G90" s="1"/>
      <c r="H90" s="1"/>
    </row>
    <row r="91" spans="1:8" ht="20" customHeight="1">
      <c r="A91" s="1"/>
      <c r="B91" s="1"/>
      <c r="C91" s="1"/>
      <c r="D91" s="1"/>
      <c r="E91" s="1"/>
      <c r="F91" s="1"/>
      <c r="G91" s="1"/>
      <c r="H91" s="1"/>
    </row>
    <row r="92" spans="1:8" ht="20" customHeight="1">
      <c r="A92" s="1"/>
      <c r="B92" s="1"/>
      <c r="C92" s="1"/>
      <c r="D92" s="1"/>
      <c r="E92" s="1"/>
      <c r="F92" s="1"/>
      <c r="G92" s="1"/>
      <c r="H92" s="1"/>
    </row>
    <row r="93" spans="1:8" ht="20" customHeight="1">
      <c r="A93" s="1"/>
      <c r="B93" s="1"/>
      <c r="C93" s="1"/>
      <c r="D93" s="1"/>
      <c r="E93" s="1"/>
      <c r="F93" s="1"/>
      <c r="G93" s="1"/>
      <c r="H93" s="1"/>
    </row>
    <row r="94" spans="1:8" ht="20" customHeight="1">
      <c r="A94" s="1"/>
      <c r="B94" s="1"/>
      <c r="C94" s="1"/>
      <c r="D94" s="1"/>
      <c r="E94" s="1"/>
      <c r="F94" s="1"/>
      <c r="G94" s="1"/>
      <c r="H94" s="1"/>
    </row>
    <row r="95" spans="1:8" ht="20" customHeight="1">
      <c r="A95" s="1"/>
      <c r="B95" s="1"/>
      <c r="C95" s="1"/>
      <c r="D95" s="1"/>
      <c r="E95" s="1"/>
      <c r="F95" s="1"/>
      <c r="G95" s="1"/>
      <c r="H95" s="1"/>
    </row>
    <row r="96" spans="1:8" ht="20" customHeight="1">
      <c r="A96" s="1"/>
      <c r="B96" s="1"/>
      <c r="C96" s="1"/>
      <c r="D96" s="1"/>
      <c r="E96" s="1"/>
      <c r="F96" s="1"/>
      <c r="G96" s="1"/>
      <c r="H96" s="1"/>
    </row>
    <row r="97" spans="1:8" ht="20" customHeight="1">
      <c r="A97" s="1"/>
      <c r="B97" s="1"/>
      <c r="C97" s="1"/>
      <c r="D97" s="1"/>
      <c r="E97" s="1"/>
      <c r="F97" s="1"/>
      <c r="G97" s="1"/>
      <c r="H97" s="1"/>
    </row>
    <row r="98" spans="1:8" ht="20" customHeight="1">
      <c r="A98" s="1"/>
      <c r="B98" s="1"/>
      <c r="C98" s="1"/>
      <c r="D98" s="1"/>
      <c r="E98" s="1"/>
      <c r="F98" s="1"/>
      <c r="G98" s="1"/>
      <c r="H98" s="1"/>
    </row>
    <row r="99" spans="1:8" ht="20" customHeight="1">
      <c r="A99" s="1"/>
      <c r="B99" s="1"/>
      <c r="C99" s="1"/>
      <c r="D99" s="1"/>
      <c r="E99" s="1"/>
      <c r="F99" s="1"/>
      <c r="G99" s="1"/>
      <c r="H99" s="1"/>
    </row>
    <row r="100" spans="1:8" ht="20" customHeight="1">
      <c r="A100" s="1"/>
      <c r="B100" s="1"/>
      <c r="C100" s="1"/>
      <c r="D100" s="1"/>
      <c r="E100" s="1"/>
      <c r="F100" s="1"/>
      <c r="G100" s="1"/>
      <c r="H100" s="1"/>
    </row>
    <row r="101" spans="1:8" ht="20" customHeight="1">
      <c r="A101" s="1"/>
      <c r="B101" s="1"/>
      <c r="C101" s="1"/>
      <c r="D101" s="1"/>
      <c r="E101" s="1"/>
      <c r="F101" s="1"/>
      <c r="G101" s="1"/>
      <c r="H101" s="1"/>
    </row>
    <row r="102" spans="1:8" ht="20" customHeight="1">
      <c r="A102" s="1"/>
      <c r="B102" s="1"/>
      <c r="C102" s="1"/>
      <c r="D102" s="1"/>
      <c r="E102" s="1"/>
      <c r="F102" s="1"/>
      <c r="G102" s="1"/>
      <c r="H102" s="1"/>
    </row>
    <row r="103" spans="1:8" ht="20" customHeight="1">
      <c r="A103" s="1"/>
      <c r="B103" s="1"/>
      <c r="C103" s="1"/>
      <c r="D103" s="1"/>
      <c r="E103" s="1"/>
      <c r="F103" s="1"/>
      <c r="G103" s="1"/>
      <c r="H103" s="1"/>
    </row>
    <row r="104" spans="1:8" ht="20" customHeight="1">
      <c r="A104" s="1"/>
      <c r="B104" s="1"/>
      <c r="C104" s="1"/>
      <c r="D104" s="1"/>
      <c r="E104" s="1"/>
      <c r="F104" s="1"/>
      <c r="G104" s="1"/>
      <c r="H104" s="1"/>
    </row>
    <row r="105" spans="1:8" ht="20" customHeight="1">
      <c r="A105" s="1"/>
      <c r="B105" s="1"/>
      <c r="C105" s="1"/>
      <c r="D105" s="1"/>
      <c r="E105" s="1"/>
      <c r="F105" s="1"/>
      <c r="G105" s="1"/>
      <c r="H105" s="1"/>
    </row>
    <row r="106" spans="1:8" ht="20" customHeight="1">
      <c r="A106" s="1"/>
      <c r="B106" s="1"/>
      <c r="C106" s="1"/>
      <c r="D106" s="1"/>
      <c r="E106" s="1"/>
      <c r="F106" s="1"/>
      <c r="G106" s="1"/>
      <c r="H106" s="1"/>
    </row>
    <row r="107" spans="1:8" ht="20" customHeight="1">
      <c r="A107" s="1"/>
      <c r="B107" s="1"/>
      <c r="C107" s="1"/>
      <c r="D107" s="1"/>
      <c r="E107" s="1"/>
      <c r="F107" s="1"/>
      <c r="G107" s="1"/>
      <c r="H107" s="1"/>
    </row>
    <row r="108" spans="1:8" ht="20" customHeight="1">
      <c r="A108" s="1"/>
      <c r="B108" s="1"/>
      <c r="C108" s="1"/>
      <c r="D108" s="1"/>
      <c r="E108" s="1"/>
      <c r="F108" s="1"/>
      <c r="G108" s="1"/>
      <c r="H108" s="1"/>
    </row>
    <row r="109" spans="1:8" ht="20" customHeight="1">
      <c r="A109" s="1"/>
      <c r="B109" s="1"/>
      <c r="C109" s="1"/>
      <c r="D109" s="1"/>
      <c r="E109" s="1"/>
      <c r="F109" s="1"/>
      <c r="G109" s="1"/>
      <c r="H109" s="1"/>
    </row>
    <row r="110" spans="1:8" ht="20" customHeight="1">
      <c r="A110" s="1"/>
      <c r="B110" s="1"/>
      <c r="C110" s="1"/>
      <c r="D110" s="1"/>
      <c r="E110" s="1"/>
      <c r="F110" s="1"/>
      <c r="G110" s="1"/>
      <c r="H110" s="1"/>
    </row>
    <row r="111" spans="1:8" ht="20" customHeight="1">
      <c r="A111" s="1"/>
      <c r="B111" s="1"/>
      <c r="C111" s="1"/>
      <c r="D111" s="1"/>
      <c r="E111" s="1"/>
      <c r="F111" s="1"/>
      <c r="G111" s="1"/>
      <c r="H111" s="1"/>
    </row>
    <row r="112" spans="1:8" ht="20" customHeight="1">
      <c r="A112" s="1"/>
      <c r="B112" s="1"/>
      <c r="C112" s="1"/>
      <c r="D112" s="1"/>
      <c r="E112" s="1"/>
      <c r="F112" s="1"/>
      <c r="G112" s="1"/>
      <c r="H112" s="1"/>
    </row>
    <row r="113" spans="1:8" ht="20" customHeight="1">
      <c r="A113" s="1"/>
      <c r="B113" s="1"/>
      <c r="C113" s="1"/>
      <c r="D113" s="1"/>
      <c r="E113" s="1"/>
      <c r="F113" s="1"/>
      <c r="G113" s="1"/>
      <c r="H113" s="1"/>
    </row>
    <row r="114" spans="1:8" ht="20" customHeight="1">
      <c r="A114" s="1"/>
      <c r="B114" s="1"/>
      <c r="C114" s="1"/>
      <c r="D114" s="1"/>
      <c r="E114" s="1"/>
      <c r="F114" s="1"/>
      <c r="G114" s="1"/>
      <c r="H114" s="1"/>
    </row>
    <row r="115" spans="1:8" ht="20" customHeight="1">
      <c r="A115" s="1"/>
      <c r="B115" s="1"/>
      <c r="C115" s="1"/>
      <c r="D115" s="1"/>
      <c r="E115" s="1"/>
      <c r="F115" s="1"/>
      <c r="G115" s="1"/>
      <c r="H115" s="1"/>
    </row>
    <row r="116" spans="1:8" ht="20" customHeight="1">
      <c r="A116" s="1"/>
      <c r="B116" s="1"/>
      <c r="C116" s="1"/>
      <c r="D116" s="1"/>
      <c r="E116" s="1"/>
      <c r="F116" s="1"/>
      <c r="G116" s="1"/>
      <c r="H116" s="1"/>
    </row>
    <row r="117" spans="1:8" ht="20" customHeight="1">
      <c r="A117" s="1"/>
      <c r="B117" s="1"/>
      <c r="C117" s="1"/>
      <c r="D117" s="1"/>
      <c r="E117" s="1"/>
      <c r="F117" s="1"/>
      <c r="G117" s="1"/>
      <c r="H117" s="1"/>
    </row>
    <row r="118" spans="1:8" ht="20" customHeight="1">
      <c r="A118" s="1"/>
      <c r="B118" s="1"/>
      <c r="C118" s="1"/>
      <c r="D118" s="1"/>
      <c r="E118" s="1"/>
      <c r="F118" s="1"/>
      <c r="G118" s="1"/>
      <c r="H118" s="1"/>
    </row>
    <row r="119" spans="1:8" ht="20" customHeight="1">
      <c r="A119" s="1"/>
      <c r="B119" s="1"/>
      <c r="C119" s="1"/>
      <c r="D119" s="1"/>
      <c r="E119" s="1"/>
      <c r="F119" s="1"/>
      <c r="G119" s="1"/>
      <c r="H119" s="1"/>
    </row>
    <row r="120" spans="1:8" ht="20" customHeight="1">
      <c r="A120" s="1"/>
      <c r="B120" s="1"/>
      <c r="C120" s="1"/>
      <c r="D120" s="1"/>
      <c r="E120" s="1"/>
      <c r="F120" s="1"/>
      <c r="G120" s="1"/>
      <c r="H120" s="1"/>
    </row>
  </sheetData>
  <dataValidations count="1">
    <dataValidation type="list" sqref="E2:E81" xr:uid="{00000000-0002-0000-0100-000000000000}">
      <formula1>"A,B,C,D,E"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0"/>
  <sheetViews>
    <sheetView tabSelected="1" workbookViewId="0">
      <selection activeCell="B20" sqref="B20"/>
    </sheetView>
  </sheetViews>
  <sheetFormatPr baseColWidth="10" defaultColWidth="8.83203125" defaultRowHeight="14"/>
  <cols>
    <col min="1" max="1" width="25.1640625" customWidth="1"/>
    <col min="2" max="2" width="30" customWidth="1"/>
    <col min="3" max="3" width="6.5" bestFit="1" customWidth="1"/>
    <col min="4" max="4" width="11" bestFit="1" customWidth="1"/>
    <col min="5" max="5" width="8.6640625" bestFit="1" customWidth="1"/>
  </cols>
  <sheetData>
    <row r="1" spans="1:8" ht="20" customHeight="1">
      <c r="A1" s="5" t="s">
        <v>207</v>
      </c>
      <c r="B1" s="6"/>
      <c r="C1" s="6"/>
      <c r="D1" s="6"/>
      <c r="E1" s="6"/>
      <c r="F1" s="1"/>
      <c r="G1" s="1"/>
      <c r="H1" s="1"/>
    </row>
    <row r="2" spans="1:8" ht="20" customHeight="1">
      <c r="A2" s="1" t="s">
        <v>208</v>
      </c>
      <c r="B2" s="1"/>
      <c r="C2" s="1"/>
      <c r="D2" s="1"/>
      <c r="E2" s="1"/>
      <c r="F2" s="1"/>
      <c r="G2" s="1"/>
      <c r="H2" s="1"/>
    </row>
    <row r="3" spans="1:8" ht="20" customHeight="1">
      <c r="A3" s="1" t="s">
        <v>209</v>
      </c>
      <c r="B3" s="1" t="s">
        <v>210</v>
      </c>
      <c r="C3" s="1"/>
      <c r="D3" s="1"/>
      <c r="E3" s="1"/>
      <c r="F3" s="1"/>
      <c r="G3" s="1"/>
      <c r="H3" s="1"/>
    </row>
    <row r="4" spans="1:8" ht="20" customHeight="1">
      <c r="A4" s="1" t="s">
        <v>211</v>
      </c>
      <c r="B4" s="1">
        <f>ROUND(SUM(Formularz!F2:F81),1)</f>
        <v>40.5</v>
      </c>
      <c r="C4" s="1"/>
      <c r="D4" s="1"/>
      <c r="E4" s="1"/>
      <c r="F4" s="1"/>
      <c r="G4" s="1"/>
      <c r="H4" s="1"/>
    </row>
    <row r="5" spans="1:8" ht="20" customHeight="1">
      <c r="A5" s="1" t="s">
        <v>212</v>
      </c>
      <c r="B5" s="1" t="str">
        <f>IF(B4&lt;26,"Bronze",IF(B4&lt;51,"Silver",IF(B4&lt;71,"Gold",IF(B4&lt;86,"Platinum","Diamond"))))</f>
        <v>Silver</v>
      </c>
      <c r="C5" s="1"/>
      <c r="D5" s="1"/>
      <c r="E5" s="1"/>
      <c r="F5" s="1"/>
      <c r="G5" s="1"/>
      <c r="H5" s="1"/>
    </row>
    <row r="6" spans="1:8" ht="30">
      <c r="A6" s="1" t="s">
        <v>213</v>
      </c>
      <c r="B6" s="1" t="str">
        <f>IF(B4&lt;26,"Wymaga gruntownego uporządkowania",IF(B4&lt;51,"Duży potencjał poprawy",IF(B4&lt;71,"Stabilna organizacja do optymalizacji",IF(B4&lt;86,"Wysoka dojrzałość operacyjna","Poziom referencyjny"))))</f>
        <v>Duży potencjał poprawy</v>
      </c>
      <c r="C6" s="1"/>
      <c r="D6" s="1"/>
      <c r="E6" s="1"/>
      <c r="F6" s="1"/>
      <c r="G6" s="1"/>
      <c r="H6" s="1"/>
    </row>
    <row r="7" spans="1:8" ht="20" customHeight="1">
      <c r="A7" s="1"/>
      <c r="B7" s="1"/>
      <c r="C7" s="1"/>
      <c r="D7" s="1"/>
      <c r="E7" s="1"/>
      <c r="F7" s="1"/>
      <c r="G7" s="1"/>
      <c r="H7" s="1"/>
    </row>
    <row r="8" spans="1:8" ht="20" customHeight="1">
      <c r="A8" s="2" t="s">
        <v>29</v>
      </c>
      <c r="B8" s="2" t="s">
        <v>32</v>
      </c>
      <c r="C8" s="2" t="s">
        <v>214</v>
      </c>
      <c r="D8" s="2" t="s">
        <v>215</v>
      </c>
      <c r="E8" s="2" t="s">
        <v>216</v>
      </c>
      <c r="F8" s="1"/>
      <c r="G8" s="1"/>
      <c r="H8" s="1"/>
    </row>
    <row r="9" spans="1:8" ht="20" customHeight="1">
      <c r="A9" s="1" t="s">
        <v>37</v>
      </c>
      <c r="B9" s="1">
        <v>15</v>
      </c>
      <c r="C9" s="1">
        <f>ROUND(SUMIF(Formularz!$A:$A,A9,Formularz!$F:$F),1)</f>
        <v>8.4</v>
      </c>
      <c r="D9" s="3">
        <f t="shared" ref="D9:D18" si="0">IF(B9=0,"",C9/B9)</f>
        <v>0.56000000000000005</v>
      </c>
      <c r="E9" s="1" t="str">
        <f t="shared" ref="E9:E18" si="1">IF(D9&lt;0.4,"Wysoki",IF(D9&lt;0.7,"Średni","Niski"))</f>
        <v>Średni</v>
      </c>
      <c r="F9" s="1"/>
      <c r="G9" s="1"/>
      <c r="H9" s="1"/>
    </row>
    <row r="10" spans="1:8" ht="20" customHeight="1">
      <c r="A10" s="1" t="s">
        <v>54</v>
      </c>
      <c r="B10" s="1">
        <v>15</v>
      </c>
      <c r="C10" s="1">
        <f>ROUND(SUMIF(Formularz!$A:$A,A10,Formularz!$F:$F),1)</f>
        <v>2.2999999999999998</v>
      </c>
      <c r="D10" s="3">
        <f t="shared" si="0"/>
        <v>0.15333333333333332</v>
      </c>
      <c r="E10" s="1" t="str">
        <f t="shared" si="1"/>
        <v>Wysoki</v>
      </c>
      <c r="F10" s="1"/>
      <c r="G10" s="1"/>
      <c r="H10" s="1"/>
    </row>
    <row r="11" spans="1:8" ht="20" customHeight="1">
      <c r="A11" s="1" t="s">
        <v>71</v>
      </c>
      <c r="B11" s="1">
        <v>15</v>
      </c>
      <c r="C11" s="1">
        <f>ROUND(SUMIF(Formularz!$A:$A,A11,Formularz!$F:$F),1)</f>
        <v>8.4</v>
      </c>
      <c r="D11" s="3">
        <f t="shared" si="0"/>
        <v>0.56000000000000005</v>
      </c>
      <c r="E11" s="1" t="str">
        <f t="shared" si="1"/>
        <v>Średni</v>
      </c>
      <c r="F11" s="1"/>
      <c r="G11" s="1"/>
      <c r="H11" s="1"/>
    </row>
    <row r="12" spans="1:8" ht="20" customHeight="1">
      <c r="A12" s="1" t="s">
        <v>88</v>
      </c>
      <c r="B12" s="1">
        <v>10</v>
      </c>
      <c r="C12" s="1">
        <f>ROUND(SUMIF(Formularz!$A:$A,A12,Formularz!$F:$F),1)</f>
        <v>3.4</v>
      </c>
      <c r="D12" s="3">
        <f t="shared" si="0"/>
        <v>0.33999999999999997</v>
      </c>
      <c r="E12" s="1" t="str">
        <f t="shared" si="1"/>
        <v>Wysoki</v>
      </c>
      <c r="F12" s="1"/>
      <c r="G12" s="1"/>
      <c r="H12" s="1"/>
    </row>
    <row r="13" spans="1:8" ht="20" customHeight="1">
      <c r="A13" s="1" t="s">
        <v>105</v>
      </c>
      <c r="B13" s="1">
        <v>10</v>
      </c>
      <c r="C13" s="1">
        <f>ROUND(SUMIF(Formularz!$A:$A,A13,Formularz!$F:$F),1)</f>
        <v>1.3</v>
      </c>
      <c r="D13" s="3">
        <f t="shared" si="0"/>
        <v>0.13</v>
      </c>
      <c r="E13" s="1" t="str">
        <f t="shared" si="1"/>
        <v>Wysoki</v>
      </c>
      <c r="F13" s="1"/>
      <c r="G13" s="1"/>
      <c r="H13" s="1"/>
    </row>
    <row r="14" spans="1:8" ht="20" customHeight="1">
      <c r="A14" s="1" t="s">
        <v>122</v>
      </c>
      <c r="B14" s="1">
        <v>10</v>
      </c>
      <c r="C14" s="1">
        <f>ROUND(SUMIF(Formularz!$A:$A,A14,Formularz!$F:$F),1)</f>
        <v>5.9</v>
      </c>
      <c r="D14" s="3">
        <f t="shared" si="0"/>
        <v>0.59000000000000008</v>
      </c>
      <c r="E14" s="1" t="str">
        <f t="shared" si="1"/>
        <v>Średni</v>
      </c>
      <c r="F14" s="1"/>
      <c r="G14" s="1"/>
      <c r="H14" s="1"/>
    </row>
    <row r="15" spans="1:8" ht="20" customHeight="1">
      <c r="A15" s="1" t="s">
        <v>139</v>
      </c>
      <c r="B15" s="1">
        <v>10</v>
      </c>
      <c r="C15" s="1">
        <f>ROUND(SUMIF(Formularz!$A:$A,A15,Formularz!$F:$F),1)</f>
        <v>2.8</v>
      </c>
      <c r="D15" s="3">
        <f t="shared" si="0"/>
        <v>0.27999999999999997</v>
      </c>
      <c r="E15" s="1" t="str">
        <f t="shared" si="1"/>
        <v>Wysoki</v>
      </c>
      <c r="F15" s="1"/>
      <c r="G15" s="1"/>
      <c r="H15" s="1"/>
    </row>
    <row r="16" spans="1:8" ht="20" customHeight="1">
      <c r="A16" s="1" t="s">
        <v>156</v>
      </c>
      <c r="B16" s="1">
        <v>5</v>
      </c>
      <c r="C16" s="1">
        <f>ROUND(SUMIF(Formularz!$A:$A,A16,Formularz!$F:$F),1)</f>
        <v>1.1000000000000001</v>
      </c>
      <c r="D16" s="3">
        <f t="shared" si="0"/>
        <v>0.22000000000000003</v>
      </c>
      <c r="E16" s="1" t="str">
        <f t="shared" si="1"/>
        <v>Wysoki</v>
      </c>
      <c r="F16" s="1"/>
      <c r="G16" s="1"/>
      <c r="H16" s="1"/>
    </row>
    <row r="17" spans="1:8" ht="20" customHeight="1">
      <c r="A17" s="1" t="s">
        <v>173</v>
      </c>
      <c r="B17" s="1">
        <v>5</v>
      </c>
      <c r="C17" s="1">
        <f>ROUND(SUMIF(Formularz!$A:$A,A17,Formularz!$F:$F),1)</f>
        <v>2.8</v>
      </c>
      <c r="D17" s="3">
        <f t="shared" si="0"/>
        <v>0.55999999999999994</v>
      </c>
      <c r="E17" s="1" t="str">
        <f t="shared" si="1"/>
        <v>Średni</v>
      </c>
      <c r="F17" s="1"/>
      <c r="G17" s="1"/>
      <c r="H17" s="1"/>
    </row>
    <row r="18" spans="1:8" ht="20" customHeight="1">
      <c r="A18" s="1" t="s">
        <v>190</v>
      </c>
      <c r="B18" s="1">
        <v>5</v>
      </c>
      <c r="C18" s="1">
        <f>ROUND(SUMIF(Formularz!$A:$A,A18,Formularz!$F:$F),1)</f>
        <v>3.9</v>
      </c>
      <c r="D18" s="3">
        <f t="shared" si="0"/>
        <v>0.78</v>
      </c>
      <c r="E18" s="1" t="str">
        <f t="shared" si="1"/>
        <v>Niski</v>
      </c>
      <c r="F18" s="1"/>
      <c r="G18" s="1"/>
      <c r="H18" s="1"/>
    </row>
    <row r="19" spans="1:8" ht="20" customHeight="1">
      <c r="A19" s="1"/>
      <c r="B19" s="1"/>
      <c r="C19" s="1"/>
      <c r="D19" s="1"/>
      <c r="E19" s="1"/>
      <c r="F19" s="1"/>
      <c r="G19" s="1"/>
      <c r="H19" s="1"/>
    </row>
    <row r="20" spans="1:8" ht="20" customHeight="1">
      <c r="A20" s="1"/>
      <c r="B20" s="1"/>
      <c r="C20" s="1"/>
      <c r="D20" s="1"/>
      <c r="E20" s="1"/>
      <c r="F20" s="1"/>
      <c r="G20" s="1"/>
      <c r="H20" s="1"/>
    </row>
    <row r="21" spans="1:8" ht="20" customHeight="1">
      <c r="A21" s="1"/>
      <c r="B21" s="1"/>
      <c r="C21" s="1"/>
      <c r="D21" s="1"/>
      <c r="E21" s="1"/>
      <c r="F21" s="1"/>
      <c r="G21" s="1"/>
      <c r="H21" s="1"/>
    </row>
    <row r="22" spans="1:8" ht="20" customHeight="1">
      <c r="A22" s="1"/>
      <c r="B22" s="1"/>
      <c r="C22" s="1"/>
      <c r="D22" s="1"/>
      <c r="E22" s="1"/>
      <c r="F22" s="1"/>
      <c r="G22" s="1"/>
      <c r="H22" s="1"/>
    </row>
    <row r="23" spans="1:8" ht="20" customHeight="1">
      <c r="A23" s="1"/>
      <c r="B23" s="1"/>
      <c r="C23" s="1"/>
      <c r="D23" s="1"/>
      <c r="E23" s="1"/>
      <c r="F23" s="1"/>
      <c r="G23" s="1"/>
      <c r="H23" s="1"/>
    </row>
    <row r="24" spans="1:8" ht="20" customHeight="1">
      <c r="A24" s="1"/>
      <c r="B24" s="1"/>
      <c r="C24" s="1"/>
      <c r="D24" s="1"/>
      <c r="E24" s="1"/>
      <c r="F24" s="1"/>
      <c r="G24" s="1"/>
      <c r="H24" s="1"/>
    </row>
    <row r="25" spans="1:8" ht="20" customHeight="1">
      <c r="A25" s="1"/>
      <c r="B25" s="1"/>
      <c r="C25" s="1"/>
      <c r="D25" s="1"/>
      <c r="E25" s="1"/>
      <c r="F25" s="1"/>
      <c r="G25" s="1"/>
      <c r="H25" s="1"/>
    </row>
    <row r="26" spans="1:8" ht="20" customHeight="1">
      <c r="A26" s="1"/>
      <c r="B26" s="1"/>
      <c r="C26" s="1"/>
      <c r="D26" s="1"/>
      <c r="E26" s="1"/>
      <c r="F26" s="1"/>
      <c r="G26" s="1"/>
      <c r="H26" s="1"/>
    </row>
    <row r="27" spans="1:8" ht="20" customHeight="1">
      <c r="A27" s="1"/>
      <c r="B27" s="1"/>
      <c r="C27" s="1"/>
      <c r="D27" s="1"/>
      <c r="E27" s="1"/>
      <c r="F27" s="1"/>
      <c r="G27" s="1"/>
      <c r="H27" s="1"/>
    </row>
    <row r="28" spans="1:8" ht="20" customHeight="1">
      <c r="A28" s="1"/>
      <c r="B28" s="1"/>
      <c r="C28" s="1"/>
      <c r="D28" s="1"/>
      <c r="E28" s="1"/>
      <c r="F28" s="1"/>
      <c r="G28" s="1"/>
      <c r="H28" s="1"/>
    </row>
    <row r="29" spans="1:8" ht="20" customHeight="1">
      <c r="A29" s="1"/>
      <c r="B29" s="1"/>
      <c r="C29" s="1"/>
      <c r="D29" s="1"/>
      <c r="E29" s="1"/>
      <c r="F29" s="1"/>
      <c r="G29" s="1"/>
      <c r="H29" s="1"/>
    </row>
    <row r="30" spans="1:8" ht="20" customHeight="1">
      <c r="A30" s="1"/>
      <c r="B30" s="1"/>
      <c r="C30" s="1"/>
      <c r="D30" s="1"/>
      <c r="E30" s="1"/>
      <c r="F30" s="1"/>
      <c r="G30" s="1"/>
      <c r="H30" s="1"/>
    </row>
    <row r="31" spans="1:8" ht="20" customHeight="1">
      <c r="A31" s="1"/>
      <c r="B31" s="1"/>
      <c r="C31" s="1"/>
      <c r="D31" s="1"/>
      <c r="E31" s="1"/>
      <c r="F31" s="1"/>
      <c r="G31" s="1"/>
      <c r="H31" s="1"/>
    </row>
    <row r="32" spans="1:8" ht="20" customHeight="1">
      <c r="A32" s="1"/>
      <c r="B32" s="1"/>
      <c r="C32" s="1"/>
      <c r="D32" s="1"/>
      <c r="E32" s="1"/>
      <c r="F32" s="1"/>
      <c r="G32" s="1"/>
      <c r="H32" s="1"/>
    </row>
    <row r="33" spans="1:8" ht="20" customHeight="1">
      <c r="A33" s="1"/>
      <c r="B33" s="1"/>
      <c r="C33" s="1"/>
      <c r="D33" s="1"/>
      <c r="E33" s="1"/>
      <c r="F33" s="1"/>
      <c r="G33" s="1"/>
      <c r="H33" s="1"/>
    </row>
    <row r="34" spans="1:8" ht="20" customHeight="1">
      <c r="A34" s="1"/>
      <c r="B34" s="1"/>
      <c r="C34" s="1"/>
      <c r="D34" s="1"/>
      <c r="E34" s="1"/>
      <c r="F34" s="1"/>
      <c r="G34" s="1"/>
      <c r="H34" s="1"/>
    </row>
    <row r="35" spans="1:8" ht="20" customHeight="1">
      <c r="A35" s="1"/>
      <c r="B35" s="1"/>
      <c r="C35" s="1"/>
      <c r="D35" s="1"/>
      <c r="E35" s="1"/>
      <c r="F35" s="1"/>
      <c r="G35" s="1"/>
      <c r="H35" s="1"/>
    </row>
    <row r="36" spans="1:8" ht="20" customHeight="1">
      <c r="A36" s="1"/>
      <c r="B36" s="1"/>
      <c r="C36" s="1"/>
      <c r="D36" s="1"/>
      <c r="E36" s="1"/>
      <c r="F36" s="1"/>
      <c r="G36" s="1"/>
      <c r="H36" s="1"/>
    </row>
    <row r="37" spans="1:8" ht="20" customHeight="1">
      <c r="A37" s="1"/>
      <c r="B37" s="1"/>
      <c r="C37" s="1"/>
      <c r="D37" s="1"/>
      <c r="E37" s="1"/>
      <c r="F37" s="1"/>
      <c r="G37" s="1"/>
      <c r="H37" s="1"/>
    </row>
    <row r="38" spans="1:8" ht="20" customHeight="1">
      <c r="A38" s="1"/>
      <c r="B38" s="1"/>
      <c r="C38" s="1"/>
      <c r="D38" s="1"/>
      <c r="E38" s="1"/>
      <c r="F38" s="1"/>
      <c r="G38" s="1"/>
      <c r="H38" s="1"/>
    </row>
    <row r="39" spans="1:8" ht="20" customHeight="1">
      <c r="A39" s="1"/>
      <c r="B39" s="1"/>
      <c r="C39" s="1"/>
      <c r="D39" s="1"/>
      <c r="E39" s="1"/>
      <c r="F39" s="1"/>
      <c r="G39" s="1"/>
      <c r="H39" s="1"/>
    </row>
    <row r="40" spans="1:8" ht="20" customHeight="1">
      <c r="A40" s="1"/>
      <c r="B40" s="1"/>
      <c r="C40" s="1"/>
      <c r="D40" s="1"/>
      <c r="E40" s="1"/>
      <c r="F40" s="1"/>
      <c r="G40" s="1"/>
      <c r="H40" s="1"/>
    </row>
    <row r="41" spans="1:8" ht="20" customHeight="1">
      <c r="A41" s="1"/>
      <c r="B41" s="1"/>
      <c r="C41" s="1"/>
      <c r="D41" s="1"/>
      <c r="E41" s="1"/>
      <c r="F41" s="1"/>
      <c r="G41" s="1"/>
      <c r="H41" s="1"/>
    </row>
    <row r="42" spans="1:8" ht="20" customHeight="1">
      <c r="A42" s="1"/>
      <c r="B42" s="1"/>
      <c r="C42" s="1"/>
      <c r="D42" s="1"/>
      <c r="E42" s="1"/>
      <c r="F42" s="1"/>
      <c r="G42" s="1"/>
      <c r="H42" s="1"/>
    </row>
    <row r="43" spans="1:8" ht="20" customHeight="1">
      <c r="A43" s="1"/>
      <c r="B43" s="1"/>
      <c r="C43" s="1"/>
      <c r="D43" s="1"/>
      <c r="E43" s="1"/>
      <c r="F43" s="1"/>
      <c r="G43" s="1"/>
      <c r="H43" s="1"/>
    </row>
    <row r="44" spans="1:8" ht="20" customHeight="1">
      <c r="A44" s="1"/>
      <c r="B44" s="1"/>
      <c r="C44" s="1"/>
      <c r="D44" s="1"/>
      <c r="E44" s="1"/>
      <c r="F44" s="1"/>
      <c r="G44" s="1"/>
      <c r="H44" s="1"/>
    </row>
    <row r="45" spans="1:8" ht="20" customHeight="1">
      <c r="A45" s="1"/>
      <c r="B45" s="1"/>
      <c r="C45" s="1"/>
      <c r="D45" s="1"/>
      <c r="E45" s="1"/>
      <c r="F45" s="1"/>
      <c r="G45" s="1"/>
      <c r="H45" s="1"/>
    </row>
    <row r="46" spans="1:8" ht="20" customHeight="1">
      <c r="A46" s="1"/>
      <c r="B46" s="1"/>
      <c r="C46" s="1"/>
      <c r="D46" s="1"/>
      <c r="E46" s="1"/>
      <c r="F46" s="1"/>
      <c r="G46" s="1"/>
      <c r="H46" s="1"/>
    </row>
    <row r="47" spans="1:8" ht="20" customHeight="1">
      <c r="A47" s="1"/>
      <c r="B47" s="1"/>
      <c r="C47" s="1"/>
      <c r="D47" s="1"/>
      <c r="E47" s="1"/>
      <c r="F47" s="1"/>
      <c r="G47" s="1"/>
      <c r="H47" s="1"/>
    </row>
    <row r="48" spans="1:8" ht="20" customHeight="1">
      <c r="A48" s="1"/>
      <c r="B48" s="1"/>
      <c r="C48" s="1"/>
      <c r="D48" s="1"/>
      <c r="E48" s="1"/>
      <c r="F48" s="1"/>
      <c r="G48" s="1"/>
      <c r="H48" s="1"/>
    </row>
    <row r="49" spans="1:8" ht="20" customHeight="1">
      <c r="A49" s="1"/>
      <c r="B49" s="1"/>
      <c r="C49" s="1"/>
      <c r="D49" s="1"/>
      <c r="E49" s="1"/>
      <c r="F49" s="1"/>
      <c r="G49" s="1"/>
      <c r="H49" s="1"/>
    </row>
    <row r="50" spans="1:8" ht="20" customHeight="1">
      <c r="A50" s="1"/>
      <c r="B50" s="1"/>
      <c r="C50" s="1"/>
      <c r="D50" s="1"/>
      <c r="E50" s="1"/>
      <c r="F50" s="1"/>
      <c r="G50" s="1"/>
      <c r="H50" s="1"/>
    </row>
    <row r="51" spans="1:8" ht="20" customHeight="1">
      <c r="A51" s="1"/>
      <c r="B51" s="1"/>
      <c r="C51" s="1"/>
      <c r="D51" s="1"/>
      <c r="E51" s="1"/>
      <c r="F51" s="1"/>
      <c r="G51" s="1"/>
      <c r="H51" s="1"/>
    </row>
    <row r="52" spans="1:8" ht="20" customHeight="1">
      <c r="A52" s="1"/>
      <c r="B52" s="1"/>
      <c r="C52" s="1"/>
      <c r="D52" s="1"/>
      <c r="E52" s="1"/>
      <c r="F52" s="1"/>
      <c r="G52" s="1"/>
      <c r="H52" s="1"/>
    </row>
    <row r="53" spans="1:8" ht="20" customHeight="1">
      <c r="A53" s="1"/>
      <c r="B53" s="1"/>
      <c r="C53" s="1"/>
      <c r="D53" s="1"/>
      <c r="E53" s="1"/>
      <c r="F53" s="1"/>
      <c r="G53" s="1"/>
      <c r="H53" s="1"/>
    </row>
    <row r="54" spans="1:8" ht="20" customHeight="1">
      <c r="A54" s="1"/>
      <c r="B54" s="1"/>
      <c r="C54" s="1"/>
      <c r="D54" s="1"/>
      <c r="E54" s="1"/>
      <c r="F54" s="1"/>
      <c r="G54" s="1"/>
      <c r="H54" s="1"/>
    </row>
    <row r="55" spans="1:8" ht="20" customHeight="1">
      <c r="A55" s="1"/>
      <c r="B55" s="1"/>
      <c r="C55" s="1"/>
      <c r="D55" s="1"/>
      <c r="E55" s="1"/>
      <c r="F55" s="1"/>
      <c r="G55" s="1"/>
      <c r="H55" s="1"/>
    </row>
    <row r="56" spans="1:8" ht="20" customHeight="1">
      <c r="A56" s="1"/>
      <c r="B56" s="1"/>
      <c r="C56" s="1"/>
      <c r="D56" s="1"/>
      <c r="E56" s="1"/>
      <c r="F56" s="1"/>
      <c r="G56" s="1"/>
      <c r="H56" s="1"/>
    </row>
    <row r="57" spans="1:8" ht="20" customHeight="1">
      <c r="A57" s="1"/>
      <c r="B57" s="1"/>
      <c r="C57" s="1"/>
      <c r="D57" s="1"/>
      <c r="E57" s="1"/>
      <c r="F57" s="1"/>
      <c r="G57" s="1"/>
      <c r="H57" s="1"/>
    </row>
    <row r="58" spans="1:8" ht="20" customHeight="1">
      <c r="A58" s="1"/>
      <c r="B58" s="1"/>
      <c r="C58" s="1"/>
      <c r="D58" s="1"/>
      <c r="E58" s="1"/>
      <c r="F58" s="1"/>
      <c r="G58" s="1"/>
      <c r="H58" s="1"/>
    </row>
    <row r="59" spans="1:8" ht="20" customHeight="1">
      <c r="A59" s="1"/>
      <c r="B59" s="1"/>
      <c r="C59" s="1"/>
      <c r="D59" s="1"/>
      <c r="E59" s="1"/>
      <c r="F59" s="1"/>
      <c r="G59" s="1"/>
      <c r="H59" s="1"/>
    </row>
    <row r="60" spans="1:8" ht="20" customHeight="1">
      <c r="A60" s="1"/>
      <c r="B60" s="1"/>
      <c r="C60" s="1"/>
      <c r="D60" s="1"/>
      <c r="E60" s="1"/>
      <c r="F60" s="1"/>
      <c r="G60" s="1"/>
      <c r="H60" s="1"/>
    </row>
    <row r="61" spans="1:8" ht="20" customHeight="1">
      <c r="A61" s="1"/>
      <c r="B61" s="1"/>
      <c r="C61" s="1"/>
      <c r="D61" s="1"/>
      <c r="E61" s="1"/>
      <c r="F61" s="1"/>
      <c r="G61" s="1"/>
      <c r="H61" s="1"/>
    </row>
    <row r="62" spans="1:8" ht="20" customHeight="1">
      <c r="A62" s="1"/>
      <c r="B62" s="1"/>
      <c r="C62" s="1"/>
      <c r="D62" s="1"/>
      <c r="E62" s="1"/>
      <c r="F62" s="1"/>
      <c r="G62" s="1"/>
      <c r="H62" s="1"/>
    </row>
    <row r="63" spans="1:8" ht="20" customHeight="1">
      <c r="A63" s="1"/>
      <c r="B63" s="1"/>
      <c r="C63" s="1"/>
      <c r="D63" s="1"/>
      <c r="E63" s="1"/>
      <c r="F63" s="1"/>
      <c r="G63" s="1"/>
      <c r="H63" s="1"/>
    </row>
    <row r="64" spans="1:8" ht="20" customHeight="1">
      <c r="A64" s="1"/>
      <c r="B64" s="1"/>
      <c r="C64" s="1"/>
      <c r="D64" s="1"/>
      <c r="E64" s="1"/>
      <c r="F64" s="1"/>
      <c r="G64" s="1"/>
      <c r="H64" s="1"/>
    </row>
    <row r="65" spans="1:8" ht="20" customHeight="1">
      <c r="A65" s="1"/>
      <c r="B65" s="1"/>
      <c r="C65" s="1"/>
      <c r="D65" s="1"/>
      <c r="E65" s="1"/>
      <c r="F65" s="1"/>
      <c r="G65" s="1"/>
      <c r="H65" s="1"/>
    </row>
    <row r="66" spans="1:8" ht="20" customHeight="1">
      <c r="A66" s="1"/>
      <c r="B66" s="1"/>
      <c r="C66" s="1"/>
      <c r="D66" s="1"/>
      <c r="E66" s="1"/>
      <c r="F66" s="1"/>
      <c r="G66" s="1"/>
      <c r="H66" s="1"/>
    </row>
    <row r="67" spans="1:8" ht="20" customHeight="1">
      <c r="A67" s="1"/>
      <c r="B67" s="1"/>
      <c r="C67" s="1"/>
      <c r="D67" s="1"/>
      <c r="E67" s="1"/>
      <c r="F67" s="1"/>
      <c r="G67" s="1"/>
      <c r="H67" s="1"/>
    </row>
    <row r="68" spans="1:8" ht="20" customHeight="1">
      <c r="A68" s="1"/>
      <c r="B68" s="1"/>
      <c r="C68" s="1"/>
      <c r="D68" s="1"/>
      <c r="E68" s="1"/>
      <c r="F68" s="1"/>
      <c r="G68" s="1"/>
      <c r="H68" s="1"/>
    </row>
    <row r="69" spans="1:8" ht="20" customHeight="1">
      <c r="A69" s="1"/>
      <c r="B69" s="1"/>
      <c r="C69" s="1"/>
      <c r="D69" s="1"/>
      <c r="E69" s="1"/>
      <c r="F69" s="1"/>
      <c r="G69" s="1"/>
      <c r="H69" s="1"/>
    </row>
    <row r="70" spans="1:8" ht="20" customHeight="1">
      <c r="A70" s="1"/>
      <c r="B70" s="1"/>
      <c r="C70" s="1"/>
      <c r="D70" s="1"/>
      <c r="E70" s="1"/>
      <c r="F70" s="1"/>
      <c r="G70" s="1"/>
      <c r="H70" s="1"/>
    </row>
    <row r="71" spans="1:8" ht="20" customHeight="1">
      <c r="A71" s="1"/>
      <c r="B71" s="1"/>
      <c r="C71" s="1"/>
      <c r="D71" s="1"/>
      <c r="E71" s="1"/>
      <c r="F71" s="1"/>
      <c r="G71" s="1"/>
      <c r="H71" s="1"/>
    </row>
    <row r="72" spans="1:8" ht="20" customHeight="1">
      <c r="A72" s="1"/>
      <c r="B72" s="1"/>
      <c r="C72" s="1"/>
      <c r="D72" s="1"/>
      <c r="E72" s="1"/>
      <c r="F72" s="1"/>
      <c r="G72" s="1"/>
      <c r="H72" s="1"/>
    </row>
    <row r="73" spans="1:8" ht="20" customHeight="1">
      <c r="A73" s="1"/>
      <c r="B73" s="1"/>
      <c r="C73" s="1"/>
      <c r="D73" s="1"/>
      <c r="E73" s="1"/>
      <c r="F73" s="1"/>
      <c r="G73" s="1"/>
      <c r="H73" s="1"/>
    </row>
    <row r="74" spans="1:8" ht="20" customHeight="1">
      <c r="A74" s="1"/>
      <c r="B74" s="1"/>
      <c r="C74" s="1"/>
      <c r="D74" s="1"/>
      <c r="E74" s="1"/>
      <c r="F74" s="1"/>
      <c r="G74" s="1"/>
      <c r="H74" s="1"/>
    </row>
    <row r="75" spans="1:8" ht="20" customHeight="1">
      <c r="A75" s="1"/>
      <c r="B75" s="1"/>
      <c r="C75" s="1"/>
      <c r="D75" s="1"/>
      <c r="E75" s="1"/>
      <c r="F75" s="1"/>
      <c r="G75" s="1"/>
      <c r="H75" s="1"/>
    </row>
    <row r="76" spans="1:8" ht="20" customHeight="1">
      <c r="A76" s="1"/>
      <c r="B76" s="1"/>
      <c r="C76" s="1"/>
      <c r="D76" s="1"/>
      <c r="E76" s="1"/>
      <c r="F76" s="1"/>
      <c r="G76" s="1"/>
      <c r="H76" s="1"/>
    </row>
    <row r="77" spans="1:8" ht="20" customHeight="1">
      <c r="A77" s="1"/>
      <c r="B77" s="1"/>
      <c r="C77" s="1"/>
      <c r="D77" s="1"/>
      <c r="E77" s="1"/>
      <c r="F77" s="1"/>
      <c r="G77" s="1"/>
      <c r="H77" s="1"/>
    </row>
    <row r="78" spans="1:8" ht="20" customHeight="1">
      <c r="A78" s="1"/>
      <c r="B78" s="1"/>
      <c r="C78" s="1"/>
      <c r="D78" s="1"/>
      <c r="E78" s="1"/>
      <c r="F78" s="1"/>
      <c r="G78" s="1"/>
      <c r="H78" s="1"/>
    </row>
    <row r="79" spans="1:8" ht="20" customHeight="1">
      <c r="A79" s="1"/>
      <c r="B79" s="1"/>
      <c r="C79" s="1"/>
      <c r="D79" s="1"/>
      <c r="E79" s="1"/>
      <c r="F79" s="1"/>
      <c r="G79" s="1"/>
      <c r="H79" s="1"/>
    </row>
    <row r="80" spans="1:8" ht="20" customHeight="1">
      <c r="A80" s="1"/>
      <c r="B80" s="1"/>
      <c r="C80" s="1"/>
      <c r="D80" s="1"/>
      <c r="E80" s="1"/>
      <c r="F80" s="1"/>
      <c r="G80" s="1"/>
      <c r="H80" s="1"/>
    </row>
    <row r="81" spans="1:8" ht="20" customHeight="1">
      <c r="A81" s="1"/>
      <c r="B81" s="1"/>
      <c r="C81" s="1"/>
      <c r="D81" s="1"/>
      <c r="E81" s="1"/>
      <c r="F81" s="1"/>
      <c r="G81" s="1"/>
      <c r="H81" s="1"/>
    </row>
    <row r="82" spans="1:8" ht="20" customHeight="1">
      <c r="A82" s="1"/>
      <c r="B82" s="1"/>
      <c r="C82" s="1"/>
      <c r="D82" s="1"/>
      <c r="E82" s="1"/>
      <c r="F82" s="1"/>
      <c r="G82" s="1"/>
      <c r="H82" s="1"/>
    </row>
    <row r="83" spans="1:8" ht="20" customHeight="1">
      <c r="A83" s="1"/>
      <c r="B83" s="1"/>
      <c r="C83" s="1"/>
      <c r="D83" s="1"/>
      <c r="E83" s="1"/>
      <c r="F83" s="1"/>
      <c r="G83" s="1"/>
      <c r="H83" s="1"/>
    </row>
    <row r="84" spans="1:8" ht="20" customHeight="1">
      <c r="A84" s="1"/>
      <c r="B84" s="1"/>
      <c r="C84" s="1"/>
      <c r="D84" s="1"/>
      <c r="E84" s="1"/>
      <c r="F84" s="1"/>
      <c r="G84" s="1"/>
      <c r="H84" s="1"/>
    </row>
    <row r="85" spans="1:8" ht="20" customHeight="1">
      <c r="A85" s="1"/>
      <c r="B85" s="1"/>
      <c r="C85" s="1"/>
      <c r="D85" s="1"/>
      <c r="E85" s="1"/>
      <c r="F85" s="1"/>
      <c r="G85" s="1"/>
      <c r="H85" s="1"/>
    </row>
    <row r="86" spans="1:8" ht="20" customHeight="1">
      <c r="A86" s="1"/>
      <c r="B86" s="1"/>
      <c r="C86" s="1"/>
      <c r="D86" s="1"/>
      <c r="E86" s="1"/>
      <c r="F86" s="1"/>
      <c r="G86" s="1"/>
      <c r="H86" s="1"/>
    </row>
    <row r="87" spans="1:8" ht="20" customHeight="1">
      <c r="A87" s="1"/>
      <c r="B87" s="1"/>
      <c r="C87" s="1"/>
      <c r="D87" s="1"/>
      <c r="E87" s="1"/>
      <c r="F87" s="1"/>
      <c r="G87" s="1"/>
      <c r="H87" s="1"/>
    </row>
    <row r="88" spans="1:8" ht="20" customHeight="1">
      <c r="A88" s="1"/>
      <c r="B88" s="1"/>
      <c r="C88" s="1"/>
      <c r="D88" s="1"/>
      <c r="E88" s="1"/>
      <c r="F88" s="1"/>
      <c r="G88" s="1"/>
      <c r="H88" s="1"/>
    </row>
    <row r="89" spans="1:8" ht="20" customHeight="1">
      <c r="A89" s="1"/>
      <c r="B89" s="1"/>
      <c r="C89" s="1"/>
      <c r="D89" s="1"/>
      <c r="E89" s="1"/>
      <c r="F89" s="1"/>
      <c r="G89" s="1"/>
      <c r="H89" s="1"/>
    </row>
    <row r="90" spans="1:8" ht="20" customHeight="1">
      <c r="A90" s="1"/>
      <c r="B90" s="1"/>
      <c r="C90" s="1"/>
      <c r="D90" s="1"/>
      <c r="E90" s="1"/>
      <c r="F90" s="1"/>
      <c r="G90" s="1"/>
      <c r="H90" s="1"/>
    </row>
    <row r="91" spans="1:8" ht="20" customHeight="1">
      <c r="A91" s="1"/>
      <c r="B91" s="1"/>
      <c r="C91" s="1"/>
      <c r="D91" s="1"/>
      <c r="E91" s="1"/>
      <c r="F91" s="1"/>
      <c r="G91" s="1"/>
      <c r="H91" s="1"/>
    </row>
    <row r="92" spans="1:8" ht="20" customHeight="1">
      <c r="A92" s="1"/>
      <c r="B92" s="1"/>
      <c r="C92" s="1"/>
      <c r="D92" s="1"/>
      <c r="E92" s="1"/>
      <c r="F92" s="1"/>
      <c r="G92" s="1"/>
      <c r="H92" s="1"/>
    </row>
    <row r="93" spans="1:8" ht="20" customHeight="1">
      <c r="A93" s="1"/>
      <c r="B93" s="1"/>
      <c r="C93" s="1"/>
      <c r="D93" s="1"/>
      <c r="E93" s="1"/>
      <c r="F93" s="1"/>
      <c r="G93" s="1"/>
      <c r="H93" s="1"/>
    </row>
    <row r="94" spans="1:8" ht="20" customHeight="1">
      <c r="A94" s="1"/>
      <c r="B94" s="1"/>
      <c r="C94" s="1"/>
      <c r="D94" s="1"/>
      <c r="E94" s="1"/>
      <c r="F94" s="1"/>
      <c r="G94" s="1"/>
      <c r="H94" s="1"/>
    </row>
    <row r="95" spans="1:8" ht="20" customHeight="1">
      <c r="A95" s="1"/>
      <c r="B95" s="1"/>
      <c r="C95" s="1"/>
      <c r="D95" s="1"/>
      <c r="E95" s="1"/>
      <c r="F95" s="1"/>
      <c r="G95" s="1"/>
      <c r="H95" s="1"/>
    </row>
    <row r="96" spans="1:8" ht="20" customHeight="1">
      <c r="A96" s="1"/>
      <c r="B96" s="1"/>
      <c r="C96" s="1"/>
      <c r="D96" s="1"/>
      <c r="E96" s="1"/>
      <c r="F96" s="1"/>
      <c r="G96" s="1"/>
      <c r="H96" s="1"/>
    </row>
    <row r="97" spans="1:8" ht="20" customHeight="1">
      <c r="A97" s="1"/>
      <c r="B97" s="1"/>
      <c r="C97" s="1"/>
      <c r="D97" s="1"/>
      <c r="E97" s="1"/>
      <c r="F97" s="1"/>
      <c r="G97" s="1"/>
      <c r="H97" s="1"/>
    </row>
    <row r="98" spans="1:8" ht="20" customHeight="1">
      <c r="A98" s="1"/>
      <c r="B98" s="1"/>
      <c r="C98" s="1"/>
      <c r="D98" s="1"/>
      <c r="E98" s="1"/>
      <c r="F98" s="1"/>
      <c r="G98" s="1"/>
      <c r="H98" s="1"/>
    </row>
    <row r="99" spans="1:8" ht="20" customHeight="1">
      <c r="A99" s="1"/>
      <c r="B99" s="1"/>
      <c r="C99" s="1"/>
      <c r="D99" s="1"/>
      <c r="E99" s="1"/>
      <c r="F99" s="1"/>
      <c r="G99" s="1"/>
      <c r="H99" s="1"/>
    </row>
    <row r="100" spans="1:8" ht="20" customHeight="1">
      <c r="A100" s="1"/>
      <c r="B100" s="1"/>
      <c r="C100" s="1"/>
      <c r="D100" s="1"/>
      <c r="E100" s="1"/>
      <c r="F100" s="1"/>
      <c r="G100" s="1"/>
      <c r="H100" s="1"/>
    </row>
    <row r="101" spans="1:8" ht="20" customHeight="1">
      <c r="A101" s="1"/>
      <c r="B101" s="1"/>
      <c r="C101" s="1"/>
      <c r="D101" s="1"/>
      <c r="E101" s="1"/>
      <c r="F101" s="1"/>
      <c r="G101" s="1"/>
      <c r="H101" s="1"/>
    </row>
    <row r="102" spans="1:8" ht="20" customHeight="1">
      <c r="A102" s="1"/>
      <c r="B102" s="1"/>
      <c r="C102" s="1"/>
      <c r="D102" s="1"/>
      <c r="E102" s="1"/>
      <c r="F102" s="1"/>
      <c r="G102" s="1"/>
      <c r="H102" s="1"/>
    </row>
    <row r="103" spans="1:8" ht="20" customHeight="1">
      <c r="A103" s="1"/>
      <c r="B103" s="1"/>
      <c r="C103" s="1"/>
      <c r="D103" s="1"/>
      <c r="E103" s="1"/>
      <c r="F103" s="1"/>
      <c r="G103" s="1"/>
      <c r="H103" s="1"/>
    </row>
    <row r="104" spans="1:8" ht="20" customHeight="1">
      <c r="A104" s="1"/>
      <c r="B104" s="1"/>
      <c r="C104" s="1"/>
      <c r="D104" s="1"/>
      <c r="E104" s="1"/>
      <c r="F104" s="1"/>
      <c r="G104" s="1"/>
      <c r="H104" s="1"/>
    </row>
    <row r="105" spans="1:8" ht="20" customHeight="1">
      <c r="A105" s="1"/>
      <c r="B105" s="1"/>
      <c r="C105" s="1"/>
      <c r="D105" s="1"/>
      <c r="E105" s="1"/>
      <c r="F105" s="1"/>
      <c r="G105" s="1"/>
      <c r="H105" s="1"/>
    </row>
    <row r="106" spans="1:8" ht="20" customHeight="1">
      <c r="A106" s="1"/>
      <c r="B106" s="1"/>
      <c r="C106" s="1"/>
      <c r="D106" s="1"/>
      <c r="E106" s="1"/>
      <c r="F106" s="1"/>
      <c r="G106" s="1"/>
      <c r="H106" s="1"/>
    </row>
    <row r="107" spans="1:8" ht="20" customHeight="1">
      <c r="A107" s="1"/>
      <c r="B107" s="1"/>
      <c r="C107" s="1"/>
      <c r="D107" s="1"/>
      <c r="E107" s="1"/>
      <c r="F107" s="1"/>
      <c r="G107" s="1"/>
      <c r="H107" s="1"/>
    </row>
    <row r="108" spans="1:8" ht="20" customHeight="1">
      <c r="A108" s="1"/>
      <c r="B108" s="1"/>
      <c r="C108" s="1"/>
      <c r="D108" s="1"/>
      <c r="E108" s="1"/>
      <c r="F108" s="1"/>
      <c r="G108" s="1"/>
      <c r="H108" s="1"/>
    </row>
    <row r="109" spans="1:8" ht="20" customHeight="1">
      <c r="A109" s="1"/>
      <c r="B109" s="1"/>
      <c r="C109" s="1"/>
      <c r="D109" s="1"/>
      <c r="E109" s="1"/>
      <c r="F109" s="1"/>
      <c r="G109" s="1"/>
      <c r="H109" s="1"/>
    </row>
    <row r="110" spans="1:8" ht="20" customHeight="1">
      <c r="A110" s="1"/>
      <c r="B110" s="1"/>
      <c r="C110" s="1"/>
      <c r="D110" s="1"/>
      <c r="E110" s="1"/>
      <c r="F110" s="1"/>
      <c r="G110" s="1"/>
      <c r="H110" s="1"/>
    </row>
    <row r="111" spans="1:8" ht="20" customHeight="1">
      <c r="A111" s="1"/>
      <c r="B111" s="1"/>
      <c r="C111" s="1"/>
      <c r="D111" s="1"/>
      <c r="E111" s="1"/>
      <c r="F111" s="1"/>
      <c r="G111" s="1"/>
      <c r="H111" s="1"/>
    </row>
    <row r="112" spans="1:8" ht="20" customHeight="1">
      <c r="A112" s="1"/>
      <c r="B112" s="1"/>
      <c r="C112" s="1"/>
      <c r="D112" s="1"/>
      <c r="E112" s="1"/>
      <c r="F112" s="1"/>
      <c r="G112" s="1"/>
      <c r="H112" s="1"/>
    </row>
    <row r="113" spans="1:8" ht="20" customHeight="1">
      <c r="A113" s="1"/>
      <c r="B113" s="1"/>
      <c r="C113" s="1"/>
      <c r="D113" s="1"/>
      <c r="E113" s="1"/>
      <c r="F113" s="1"/>
      <c r="G113" s="1"/>
      <c r="H113" s="1"/>
    </row>
    <row r="114" spans="1:8" ht="20" customHeight="1">
      <c r="A114" s="1"/>
      <c r="B114" s="1"/>
      <c r="C114" s="1"/>
      <c r="D114" s="1"/>
      <c r="E114" s="1"/>
      <c r="F114" s="1"/>
      <c r="G114" s="1"/>
      <c r="H114" s="1"/>
    </row>
    <row r="115" spans="1:8" ht="20" customHeight="1">
      <c r="A115" s="1"/>
      <c r="B115" s="1"/>
      <c r="C115" s="1"/>
      <c r="D115" s="1"/>
      <c r="E115" s="1"/>
      <c r="F115" s="1"/>
      <c r="G115" s="1"/>
      <c r="H115" s="1"/>
    </row>
    <row r="116" spans="1:8" ht="20" customHeight="1">
      <c r="A116" s="1"/>
      <c r="B116" s="1"/>
      <c r="C116" s="1"/>
      <c r="D116" s="1"/>
      <c r="E116" s="1"/>
      <c r="F116" s="1"/>
      <c r="G116" s="1"/>
      <c r="H116" s="1"/>
    </row>
    <row r="117" spans="1:8" ht="20" customHeight="1">
      <c r="A117" s="1"/>
      <c r="B117" s="1"/>
      <c r="C117" s="1"/>
      <c r="D117" s="1"/>
      <c r="E117" s="1"/>
      <c r="F117" s="1"/>
      <c r="G117" s="1"/>
      <c r="H117" s="1"/>
    </row>
    <row r="118" spans="1:8" ht="20" customHeight="1">
      <c r="A118" s="1"/>
      <c r="B118" s="1"/>
      <c r="C118" s="1"/>
      <c r="D118" s="1"/>
      <c r="E118" s="1"/>
      <c r="F118" s="1"/>
      <c r="G118" s="1"/>
      <c r="H118" s="1"/>
    </row>
    <row r="119" spans="1:8" ht="20" customHeight="1">
      <c r="A119" s="1"/>
      <c r="B119" s="1"/>
      <c r="C119" s="1"/>
      <c r="D119" s="1"/>
      <c r="E119" s="1"/>
      <c r="F119" s="1"/>
      <c r="G119" s="1"/>
      <c r="H119" s="1"/>
    </row>
    <row r="120" spans="1:8" ht="20" customHeight="1">
      <c r="A120" s="1"/>
      <c r="B120" s="1"/>
      <c r="C120" s="1"/>
      <c r="D120" s="1"/>
      <c r="E120" s="1"/>
      <c r="F120" s="1"/>
      <c r="G120" s="1"/>
      <c r="H120" s="1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0"/>
  <sheetViews>
    <sheetView topLeftCell="B1" workbookViewId="0">
      <selection activeCell="C14" sqref="C14"/>
    </sheetView>
  </sheetViews>
  <sheetFormatPr baseColWidth="10" defaultColWidth="8.83203125" defaultRowHeight="14"/>
  <cols>
    <col min="1" max="1" width="22.5" customWidth="1"/>
    <col min="2" max="2" width="75.33203125" customWidth="1"/>
    <col min="3" max="3" width="53.1640625" customWidth="1"/>
    <col min="4" max="4" width="54.6640625" customWidth="1"/>
    <col min="5" max="5" width="34.1640625" customWidth="1"/>
  </cols>
  <sheetData>
    <row r="1" spans="1:8" ht="20" customHeight="1">
      <c r="A1" s="2" t="s">
        <v>29</v>
      </c>
      <c r="B1" s="2" t="s">
        <v>217</v>
      </c>
      <c r="C1" s="2" t="s">
        <v>218</v>
      </c>
      <c r="D1" s="2" t="s">
        <v>219</v>
      </c>
      <c r="E1" s="2" t="s">
        <v>220</v>
      </c>
      <c r="F1" s="1"/>
      <c r="G1" s="1"/>
      <c r="H1" s="1"/>
    </row>
    <row r="2" spans="1:8" ht="30">
      <c r="A2" s="1" t="s">
        <v>37</v>
      </c>
      <c r="B2" s="1" t="s">
        <v>221</v>
      </c>
      <c r="C2" s="1" t="s">
        <v>222</v>
      </c>
      <c r="D2" s="1" t="s">
        <v>223</v>
      </c>
      <c r="E2" s="1" t="s">
        <v>224</v>
      </c>
      <c r="F2" s="1"/>
      <c r="G2" s="1"/>
      <c r="H2" s="1"/>
    </row>
    <row r="3" spans="1:8" ht="30">
      <c r="A3" s="1" t="s">
        <v>54</v>
      </c>
      <c r="B3" s="1" t="s">
        <v>225</v>
      </c>
      <c r="C3" s="1" t="s">
        <v>222</v>
      </c>
      <c r="D3" s="1" t="s">
        <v>223</v>
      </c>
      <c r="E3" s="1" t="s">
        <v>226</v>
      </c>
      <c r="F3" s="1"/>
      <c r="G3" s="1"/>
      <c r="H3" s="1"/>
    </row>
    <row r="4" spans="1:8" ht="30">
      <c r="A4" s="1" t="s">
        <v>71</v>
      </c>
      <c r="B4" s="1" t="s">
        <v>227</v>
      </c>
      <c r="C4" s="1" t="s">
        <v>222</v>
      </c>
      <c r="D4" s="1" t="s">
        <v>223</v>
      </c>
      <c r="E4" s="1" t="s">
        <v>228</v>
      </c>
      <c r="F4" s="1"/>
      <c r="G4" s="1"/>
      <c r="H4" s="1"/>
    </row>
    <row r="5" spans="1:8" ht="30">
      <c r="A5" s="1" t="s">
        <v>88</v>
      </c>
      <c r="B5" s="1" t="s">
        <v>229</v>
      </c>
      <c r="C5" s="1" t="s">
        <v>222</v>
      </c>
      <c r="D5" s="1" t="s">
        <v>223</v>
      </c>
      <c r="E5" s="1" t="s">
        <v>230</v>
      </c>
      <c r="F5" s="1"/>
      <c r="G5" s="1"/>
      <c r="H5" s="1"/>
    </row>
    <row r="6" spans="1:8" ht="30">
      <c r="A6" s="1" t="s">
        <v>105</v>
      </c>
      <c r="B6" s="1" t="s">
        <v>231</v>
      </c>
      <c r="C6" s="1" t="s">
        <v>222</v>
      </c>
      <c r="D6" s="1" t="s">
        <v>223</v>
      </c>
      <c r="E6" s="1" t="s">
        <v>232</v>
      </c>
      <c r="F6" s="1"/>
      <c r="G6" s="1"/>
      <c r="H6" s="1"/>
    </row>
    <row r="7" spans="1:8" ht="30">
      <c r="A7" s="1" t="s">
        <v>122</v>
      </c>
      <c r="B7" s="1" t="s">
        <v>233</v>
      </c>
      <c r="C7" s="1" t="s">
        <v>222</v>
      </c>
      <c r="D7" s="1" t="s">
        <v>223</v>
      </c>
      <c r="E7" s="1" t="s">
        <v>234</v>
      </c>
      <c r="F7" s="1"/>
      <c r="G7" s="1"/>
      <c r="H7" s="1"/>
    </row>
    <row r="8" spans="1:8" ht="30">
      <c r="A8" s="1" t="s">
        <v>139</v>
      </c>
      <c r="B8" s="1" t="s">
        <v>235</v>
      </c>
      <c r="C8" s="1" t="s">
        <v>222</v>
      </c>
      <c r="D8" s="1" t="s">
        <v>223</v>
      </c>
      <c r="E8" s="1" t="s">
        <v>236</v>
      </c>
      <c r="F8" s="1"/>
      <c r="G8" s="1"/>
      <c r="H8" s="1"/>
    </row>
    <row r="9" spans="1:8" ht="30">
      <c r="A9" s="1" t="s">
        <v>156</v>
      </c>
      <c r="B9" s="1" t="s">
        <v>237</v>
      </c>
      <c r="C9" s="1" t="s">
        <v>222</v>
      </c>
      <c r="D9" s="1" t="s">
        <v>223</v>
      </c>
      <c r="E9" s="1" t="s">
        <v>238</v>
      </c>
      <c r="F9" s="1"/>
      <c r="G9" s="1"/>
      <c r="H9" s="1"/>
    </row>
    <row r="10" spans="1:8" ht="30">
      <c r="A10" s="1" t="s">
        <v>173</v>
      </c>
      <c r="B10" s="1" t="s">
        <v>239</v>
      </c>
      <c r="C10" s="1" t="s">
        <v>222</v>
      </c>
      <c r="D10" s="1" t="s">
        <v>223</v>
      </c>
      <c r="E10" s="1" t="s">
        <v>240</v>
      </c>
      <c r="F10" s="1"/>
      <c r="G10" s="1"/>
      <c r="H10" s="1"/>
    </row>
    <row r="11" spans="1:8" ht="30">
      <c r="A11" s="1" t="s">
        <v>190</v>
      </c>
      <c r="B11" s="1" t="s">
        <v>241</v>
      </c>
      <c r="C11" s="1" t="s">
        <v>222</v>
      </c>
      <c r="D11" s="1" t="s">
        <v>223</v>
      </c>
      <c r="E11" s="1" t="s">
        <v>242</v>
      </c>
      <c r="F11" s="1"/>
      <c r="G11" s="1"/>
      <c r="H11" s="1"/>
    </row>
    <row r="12" spans="1:8" ht="20" customHeight="1">
      <c r="A12" s="1"/>
      <c r="B12" s="1"/>
      <c r="C12" s="1"/>
      <c r="D12" s="1"/>
      <c r="E12" s="1"/>
      <c r="F12" s="1"/>
      <c r="G12" s="1"/>
      <c r="H12" s="1"/>
    </row>
    <row r="13" spans="1:8" ht="20" customHeight="1">
      <c r="A13" s="1"/>
      <c r="B13" s="1"/>
      <c r="C13" s="1"/>
      <c r="D13" s="1"/>
      <c r="E13" s="1"/>
      <c r="F13" s="1"/>
      <c r="G13" s="1"/>
      <c r="H13" s="1"/>
    </row>
    <row r="14" spans="1:8" ht="20" customHeight="1">
      <c r="A14" s="1"/>
      <c r="B14" s="1"/>
      <c r="C14" s="1"/>
      <c r="D14" s="1"/>
      <c r="E14" s="1"/>
      <c r="F14" s="1"/>
      <c r="G14" s="1"/>
      <c r="H14" s="1"/>
    </row>
    <row r="15" spans="1:8" ht="20" customHeight="1">
      <c r="A15" s="1"/>
      <c r="B15" s="1"/>
      <c r="C15" s="1"/>
      <c r="D15" s="1"/>
      <c r="E15" s="1"/>
      <c r="F15" s="1"/>
      <c r="G15" s="1"/>
      <c r="H15" s="1"/>
    </row>
    <row r="16" spans="1:8" ht="20" customHeight="1">
      <c r="A16" s="1"/>
      <c r="B16" s="1"/>
      <c r="C16" s="1"/>
      <c r="D16" s="1"/>
      <c r="E16" s="1"/>
      <c r="F16" s="1"/>
      <c r="G16" s="1"/>
      <c r="H16" s="1"/>
    </row>
    <row r="17" spans="1:8" ht="20" customHeight="1">
      <c r="A17" s="1"/>
      <c r="B17" s="1"/>
      <c r="C17" s="1"/>
      <c r="D17" s="1"/>
      <c r="E17" s="1"/>
      <c r="F17" s="1"/>
      <c r="G17" s="1"/>
      <c r="H17" s="1"/>
    </row>
    <row r="18" spans="1:8" ht="20" customHeight="1">
      <c r="A18" s="1"/>
      <c r="B18" s="1"/>
      <c r="C18" s="1"/>
      <c r="D18" s="1"/>
      <c r="E18" s="1"/>
      <c r="F18" s="1"/>
      <c r="G18" s="1"/>
      <c r="H18" s="1"/>
    </row>
    <row r="19" spans="1:8" ht="20" customHeight="1">
      <c r="A19" s="1"/>
      <c r="B19" s="1"/>
      <c r="C19" s="1"/>
      <c r="D19" s="1"/>
      <c r="E19" s="1"/>
      <c r="F19" s="1"/>
      <c r="G19" s="1"/>
      <c r="H19" s="1"/>
    </row>
    <row r="20" spans="1:8" ht="20" customHeight="1">
      <c r="A20" s="1"/>
      <c r="B20" s="1"/>
      <c r="C20" s="1"/>
      <c r="D20" s="1"/>
      <c r="E20" s="1"/>
      <c r="F20" s="1"/>
      <c r="G20" s="1"/>
      <c r="H20" s="1"/>
    </row>
    <row r="21" spans="1:8" ht="20" customHeight="1">
      <c r="A21" s="1"/>
      <c r="B21" s="1"/>
      <c r="C21" s="1"/>
      <c r="D21" s="1"/>
      <c r="E21" s="1"/>
      <c r="F21" s="1"/>
      <c r="G21" s="1"/>
      <c r="H21" s="1"/>
    </row>
    <row r="22" spans="1:8" ht="20" customHeight="1">
      <c r="A22" s="1"/>
      <c r="B22" s="1"/>
      <c r="C22" s="1"/>
      <c r="D22" s="1"/>
      <c r="E22" s="1"/>
      <c r="F22" s="1"/>
      <c r="G22" s="1"/>
      <c r="H22" s="1"/>
    </row>
    <row r="23" spans="1:8" ht="20" customHeight="1">
      <c r="A23" s="1"/>
      <c r="B23" s="1"/>
      <c r="C23" s="1"/>
      <c r="D23" s="1"/>
      <c r="E23" s="1"/>
      <c r="F23" s="1"/>
      <c r="G23" s="1"/>
      <c r="H23" s="1"/>
    </row>
    <row r="24" spans="1:8" ht="20" customHeight="1">
      <c r="A24" s="1"/>
      <c r="B24" s="1"/>
      <c r="C24" s="1"/>
      <c r="D24" s="1"/>
      <c r="E24" s="1"/>
      <c r="F24" s="1"/>
      <c r="G24" s="1"/>
      <c r="H24" s="1"/>
    </row>
    <row r="25" spans="1:8" ht="20" customHeight="1">
      <c r="A25" s="1"/>
      <c r="B25" s="1"/>
      <c r="C25" s="1"/>
      <c r="D25" s="1"/>
      <c r="E25" s="1"/>
      <c r="F25" s="1"/>
      <c r="G25" s="1"/>
      <c r="H25" s="1"/>
    </row>
    <row r="26" spans="1:8" ht="20" customHeight="1">
      <c r="A26" s="1"/>
      <c r="B26" s="1"/>
      <c r="C26" s="1"/>
      <c r="D26" s="1"/>
      <c r="E26" s="1"/>
      <c r="F26" s="1"/>
      <c r="G26" s="1"/>
      <c r="H26" s="1"/>
    </row>
    <row r="27" spans="1:8" ht="20" customHeight="1">
      <c r="A27" s="1"/>
      <c r="B27" s="1"/>
      <c r="C27" s="1"/>
      <c r="D27" s="1"/>
      <c r="E27" s="1"/>
      <c r="F27" s="1"/>
      <c r="G27" s="1"/>
      <c r="H27" s="1"/>
    </row>
    <row r="28" spans="1:8" ht="20" customHeight="1">
      <c r="A28" s="1"/>
      <c r="B28" s="1"/>
      <c r="C28" s="1"/>
      <c r="D28" s="1"/>
      <c r="E28" s="1"/>
      <c r="F28" s="1"/>
      <c r="G28" s="1"/>
      <c r="H28" s="1"/>
    </row>
    <row r="29" spans="1:8" ht="20" customHeight="1">
      <c r="A29" s="1"/>
      <c r="B29" s="1"/>
      <c r="C29" s="1"/>
      <c r="D29" s="1"/>
      <c r="E29" s="1"/>
      <c r="F29" s="1"/>
      <c r="G29" s="1"/>
      <c r="H29" s="1"/>
    </row>
    <row r="30" spans="1:8" ht="20" customHeight="1">
      <c r="A30" s="1"/>
      <c r="B30" s="1"/>
      <c r="C30" s="1"/>
      <c r="D30" s="1"/>
      <c r="E30" s="1"/>
      <c r="F30" s="1"/>
      <c r="G30" s="1"/>
      <c r="H30" s="1"/>
    </row>
    <row r="31" spans="1:8" ht="20" customHeight="1">
      <c r="A31" s="1"/>
      <c r="B31" s="1"/>
      <c r="C31" s="1"/>
      <c r="D31" s="1"/>
      <c r="E31" s="1"/>
      <c r="F31" s="1"/>
      <c r="G31" s="1"/>
      <c r="H31" s="1"/>
    </row>
    <row r="32" spans="1:8" ht="20" customHeight="1">
      <c r="A32" s="1"/>
      <c r="B32" s="1"/>
      <c r="C32" s="1"/>
      <c r="D32" s="1"/>
      <c r="E32" s="1"/>
      <c r="F32" s="1"/>
      <c r="G32" s="1"/>
      <c r="H32" s="1"/>
    </row>
    <row r="33" spans="1:8" ht="20" customHeight="1">
      <c r="A33" s="1"/>
      <c r="B33" s="1"/>
      <c r="C33" s="1"/>
      <c r="D33" s="1"/>
      <c r="E33" s="1"/>
      <c r="F33" s="1"/>
      <c r="G33" s="1"/>
      <c r="H33" s="1"/>
    </row>
    <row r="34" spans="1:8" ht="20" customHeight="1">
      <c r="A34" s="1"/>
      <c r="B34" s="1"/>
      <c r="C34" s="1"/>
      <c r="D34" s="1"/>
      <c r="E34" s="1"/>
      <c r="F34" s="1"/>
      <c r="G34" s="1"/>
      <c r="H34" s="1"/>
    </row>
    <row r="35" spans="1:8" ht="20" customHeight="1">
      <c r="A35" s="1"/>
      <c r="B35" s="1"/>
      <c r="C35" s="1"/>
      <c r="D35" s="1"/>
      <c r="E35" s="1"/>
      <c r="F35" s="1"/>
      <c r="G35" s="1"/>
      <c r="H35" s="1"/>
    </row>
    <row r="36" spans="1:8" ht="20" customHeight="1">
      <c r="A36" s="1"/>
      <c r="B36" s="1"/>
      <c r="C36" s="1"/>
      <c r="D36" s="1"/>
      <c r="E36" s="1"/>
      <c r="F36" s="1"/>
      <c r="G36" s="1"/>
      <c r="H36" s="1"/>
    </row>
    <row r="37" spans="1:8" ht="20" customHeight="1">
      <c r="A37" s="1"/>
      <c r="B37" s="1"/>
      <c r="C37" s="1"/>
      <c r="D37" s="1"/>
      <c r="E37" s="1"/>
      <c r="F37" s="1"/>
      <c r="G37" s="1"/>
      <c r="H37" s="1"/>
    </row>
    <row r="38" spans="1:8" ht="20" customHeight="1">
      <c r="A38" s="1"/>
      <c r="B38" s="1"/>
      <c r="C38" s="1"/>
      <c r="D38" s="1"/>
      <c r="E38" s="1"/>
      <c r="F38" s="1"/>
      <c r="G38" s="1"/>
      <c r="H38" s="1"/>
    </row>
    <row r="39" spans="1:8" ht="20" customHeight="1">
      <c r="A39" s="1"/>
      <c r="B39" s="1"/>
      <c r="C39" s="1"/>
      <c r="D39" s="1"/>
      <c r="E39" s="1"/>
      <c r="F39" s="1"/>
      <c r="G39" s="1"/>
      <c r="H39" s="1"/>
    </row>
    <row r="40" spans="1:8" ht="20" customHeight="1">
      <c r="A40" s="1"/>
      <c r="B40" s="1"/>
      <c r="C40" s="1"/>
      <c r="D40" s="1"/>
      <c r="E40" s="1"/>
      <c r="F40" s="1"/>
      <c r="G40" s="1"/>
      <c r="H40" s="1"/>
    </row>
    <row r="41" spans="1:8" ht="20" customHeight="1">
      <c r="A41" s="1"/>
      <c r="B41" s="1"/>
      <c r="C41" s="1"/>
      <c r="D41" s="1"/>
      <c r="E41" s="1"/>
      <c r="F41" s="1"/>
      <c r="G41" s="1"/>
      <c r="H41" s="1"/>
    </row>
    <row r="42" spans="1:8" ht="20" customHeight="1">
      <c r="A42" s="1"/>
      <c r="B42" s="1"/>
      <c r="C42" s="1"/>
      <c r="D42" s="1"/>
      <c r="E42" s="1"/>
      <c r="F42" s="1"/>
      <c r="G42" s="1"/>
      <c r="H42" s="1"/>
    </row>
    <row r="43" spans="1:8" ht="20" customHeight="1">
      <c r="A43" s="1"/>
      <c r="B43" s="1"/>
      <c r="C43" s="1"/>
      <c r="D43" s="1"/>
      <c r="E43" s="1"/>
      <c r="F43" s="1"/>
      <c r="G43" s="1"/>
      <c r="H43" s="1"/>
    </row>
    <row r="44" spans="1:8" ht="20" customHeight="1">
      <c r="A44" s="1"/>
      <c r="B44" s="1"/>
      <c r="C44" s="1"/>
      <c r="D44" s="1"/>
      <c r="E44" s="1"/>
      <c r="F44" s="1"/>
      <c r="G44" s="1"/>
      <c r="H44" s="1"/>
    </row>
    <row r="45" spans="1:8" ht="20" customHeight="1">
      <c r="A45" s="1"/>
      <c r="B45" s="1"/>
      <c r="C45" s="1"/>
      <c r="D45" s="1"/>
      <c r="E45" s="1"/>
      <c r="F45" s="1"/>
      <c r="G45" s="1"/>
      <c r="H45" s="1"/>
    </row>
    <row r="46" spans="1:8" ht="20" customHeight="1">
      <c r="A46" s="1"/>
      <c r="B46" s="1"/>
      <c r="C46" s="1"/>
      <c r="D46" s="1"/>
      <c r="E46" s="1"/>
      <c r="F46" s="1"/>
      <c r="G46" s="1"/>
      <c r="H46" s="1"/>
    </row>
    <row r="47" spans="1:8" ht="20" customHeight="1">
      <c r="A47" s="1"/>
      <c r="B47" s="1"/>
      <c r="C47" s="1"/>
      <c r="D47" s="1"/>
      <c r="E47" s="1"/>
      <c r="F47" s="1"/>
      <c r="G47" s="1"/>
      <c r="H47" s="1"/>
    </row>
    <row r="48" spans="1:8" ht="20" customHeight="1">
      <c r="A48" s="1"/>
      <c r="B48" s="1"/>
      <c r="C48" s="1"/>
      <c r="D48" s="1"/>
      <c r="E48" s="1"/>
      <c r="F48" s="1"/>
      <c r="G48" s="1"/>
      <c r="H48" s="1"/>
    </row>
    <row r="49" spans="1:8" ht="20" customHeight="1">
      <c r="A49" s="1"/>
      <c r="B49" s="1"/>
      <c r="C49" s="1"/>
      <c r="D49" s="1"/>
      <c r="E49" s="1"/>
      <c r="F49" s="1"/>
      <c r="G49" s="1"/>
      <c r="H49" s="1"/>
    </row>
    <row r="50" spans="1:8" ht="20" customHeight="1">
      <c r="A50" s="1"/>
      <c r="B50" s="1"/>
      <c r="C50" s="1"/>
      <c r="D50" s="1"/>
      <c r="E50" s="1"/>
      <c r="F50" s="1"/>
      <c r="G50" s="1"/>
      <c r="H50" s="1"/>
    </row>
    <row r="51" spans="1:8" ht="20" customHeight="1">
      <c r="A51" s="1"/>
      <c r="B51" s="1"/>
      <c r="C51" s="1"/>
      <c r="D51" s="1"/>
      <c r="E51" s="1"/>
      <c r="F51" s="1"/>
      <c r="G51" s="1"/>
      <c r="H51" s="1"/>
    </row>
    <row r="52" spans="1:8" ht="20" customHeight="1">
      <c r="A52" s="1"/>
      <c r="B52" s="1"/>
      <c r="C52" s="1"/>
      <c r="D52" s="1"/>
      <c r="E52" s="1"/>
      <c r="F52" s="1"/>
      <c r="G52" s="1"/>
      <c r="H52" s="1"/>
    </row>
    <row r="53" spans="1:8" ht="20" customHeight="1">
      <c r="A53" s="1"/>
      <c r="B53" s="1"/>
      <c r="C53" s="1"/>
      <c r="D53" s="1"/>
      <c r="E53" s="1"/>
      <c r="F53" s="1"/>
      <c r="G53" s="1"/>
      <c r="H53" s="1"/>
    </row>
    <row r="54" spans="1:8" ht="20" customHeight="1">
      <c r="A54" s="1"/>
      <c r="B54" s="1"/>
      <c r="C54" s="1"/>
      <c r="D54" s="1"/>
      <c r="E54" s="1"/>
      <c r="F54" s="1"/>
      <c r="G54" s="1"/>
      <c r="H54" s="1"/>
    </row>
    <row r="55" spans="1:8" ht="20" customHeight="1">
      <c r="A55" s="1"/>
      <c r="B55" s="1"/>
      <c r="C55" s="1"/>
      <c r="D55" s="1"/>
      <c r="E55" s="1"/>
      <c r="F55" s="1"/>
      <c r="G55" s="1"/>
      <c r="H55" s="1"/>
    </row>
    <row r="56" spans="1:8" ht="20" customHeight="1">
      <c r="A56" s="1"/>
      <c r="B56" s="1"/>
      <c r="C56" s="1"/>
      <c r="D56" s="1"/>
      <c r="E56" s="1"/>
      <c r="F56" s="1"/>
      <c r="G56" s="1"/>
      <c r="H56" s="1"/>
    </row>
    <row r="57" spans="1:8" ht="20" customHeight="1">
      <c r="A57" s="1"/>
      <c r="B57" s="1"/>
      <c r="C57" s="1"/>
      <c r="D57" s="1"/>
      <c r="E57" s="1"/>
      <c r="F57" s="1"/>
      <c r="G57" s="1"/>
      <c r="H57" s="1"/>
    </row>
    <row r="58" spans="1:8" ht="20" customHeight="1">
      <c r="A58" s="1"/>
      <c r="B58" s="1"/>
      <c r="C58" s="1"/>
      <c r="D58" s="1"/>
      <c r="E58" s="1"/>
      <c r="F58" s="1"/>
      <c r="G58" s="1"/>
      <c r="H58" s="1"/>
    </row>
    <row r="59" spans="1:8" ht="20" customHeight="1">
      <c r="A59" s="1"/>
      <c r="B59" s="1"/>
      <c r="C59" s="1"/>
      <c r="D59" s="1"/>
      <c r="E59" s="1"/>
      <c r="F59" s="1"/>
      <c r="G59" s="1"/>
      <c r="H59" s="1"/>
    </row>
    <row r="60" spans="1:8" ht="20" customHeight="1">
      <c r="A60" s="1"/>
      <c r="B60" s="1"/>
      <c r="C60" s="1"/>
      <c r="D60" s="1"/>
      <c r="E60" s="1"/>
      <c r="F60" s="1"/>
      <c r="G60" s="1"/>
      <c r="H60" s="1"/>
    </row>
    <row r="61" spans="1:8" ht="20" customHeight="1">
      <c r="A61" s="1"/>
      <c r="B61" s="1"/>
      <c r="C61" s="1"/>
      <c r="D61" s="1"/>
      <c r="E61" s="1"/>
      <c r="F61" s="1"/>
      <c r="G61" s="1"/>
      <c r="H61" s="1"/>
    </row>
    <row r="62" spans="1:8" ht="20" customHeight="1">
      <c r="A62" s="1"/>
      <c r="B62" s="1"/>
      <c r="C62" s="1"/>
      <c r="D62" s="1"/>
      <c r="E62" s="1"/>
      <c r="F62" s="1"/>
      <c r="G62" s="1"/>
      <c r="H62" s="1"/>
    </row>
    <row r="63" spans="1:8" ht="20" customHeight="1">
      <c r="A63" s="1"/>
      <c r="B63" s="1"/>
      <c r="C63" s="1"/>
      <c r="D63" s="1"/>
      <c r="E63" s="1"/>
      <c r="F63" s="1"/>
      <c r="G63" s="1"/>
      <c r="H63" s="1"/>
    </row>
    <row r="64" spans="1:8" ht="20" customHeight="1">
      <c r="A64" s="1"/>
      <c r="B64" s="1"/>
      <c r="C64" s="1"/>
      <c r="D64" s="1"/>
      <c r="E64" s="1"/>
      <c r="F64" s="1"/>
      <c r="G64" s="1"/>
      <c r="H64" s="1"/>
    </row>
    <row r="65" spans="1:8" ht="20" customHeight="1">
      <c r="A65" s="1"/>
      <c r="B65" s="1"/>
      <c r="C65" s="1"/>
      <c r="D65" s="1"/>
      <c r="E65" s="1"/>
      <c r="F65" s="1"/>
      <c r="G65" s="1"/>
      <c r="H65" s="1"/>
    </row>
    <row r="66" spans="1:8" ht="20" customHeight="1">
      <c r="A66" s="1"/>
      <c r="B66" s="1"/>
      <c r="C66" s="1"/>
      <c r="D66" s="1"/>
      <c r="E66" s="1"/>
      <c r="F66" s="1"/>
      <c r="G66" s="1"/>
      <c r="H66" s="1"/>
    </row>
    <row r="67" spans="1:8" ht="20" customHeight="1">
      <c r="A67" s="1"/>
      <c r="B67" s="1"/>
      <c r="C67" s="1"/>
      <c r="D67" s="1"/>
      <c r="E67" s="1"/>
      <c r="F67" s="1"/>
      <c r="G67" s="1"/>
      <c r="H67" s="1"/>
    </row>
    <row r="68" spans="1:8" ht="20" customHeight="1">
      <c r="A68" s="1"/>
      <c r="B68" s="1"/>
      <c r="C68" s="1"/>
      <c r="D68" s="1"/>
      <c r="E68" s="1"/>
      <c r="F68" s="1"/>
      <c r="G68" s="1"/>
      <c r="H68" s="1"/>
    </row>
    <row r="69" spans="1:8" ht="20" customHeight="1">
      <c r="A69" s="1"/>
      <c r="B69" s="1"/>
      <c r="C69" s="1"/>
      <c r="D69" s="1"/>
      <c r="E69" s="1"/>
      <c r="F69" s="1"/>
      <c r="G69" s="1"/>
      <c r="H69" s="1"/>
    </row>
    <row r="70" spans="1:8" ht="20" customHeight="1">
      <c r="A70" s="1"/>
      <c r="B70" s="1"/>
      <c r="C70" s="1"/>
      <c r="D70" s="1"/>
      <c r="E70" s="1"/>
      <c r="F70" s="1"/>
      <c r="G70" s="1"/>
      <c r="H70" s="1"/>
    </row>
    <row r="71" spans="1:8" ht="20" customHeight="1">
      <c r="A71" s="1"/>
      <c r="B71" s="1"/>
      <c r="C71" s="1"/>
      <c r="D71" s="1"/>
      <c r="E71" s="1"/>
      <c r="F71" s="1"/>
      <c r="G71" s="1"/>
      <c r="H71" s="1"/>
    </row>
    <row r="72" spans="1:8" ht="20" customHeight="1">
      <c r="A72" s="1"/>
      <c r="B72" s="1"/>
      <c r="C72" s="1"/>
      <c r="D72" s="1"/>
      <c r="E72" s="1"/>
      <c r="F72" s="1"/>
      <c r="G72" s="1"/>
      <c r="H72" s="1"/>
    </row>
    <row r="73" spans="1:8" ht="20" customHeight="1">
      <c r="A73" s="1"/>
      <c r="B73" s="1"/>
      <c r="C73" s="1"/>
      <c r="D73" s="1"/>
      <c r="E73" s="1"/>
      <c r="F73" s="1"/>
      <c r="G73" s="1"/>
      <c r="H73" s="1"/>
    </row>
    <row r="74" spans="1:8" ht="20" customHeight="1">
      <c r="A74" s="1"/>
      <c r="B74" s="1"/>
      <c r="C74" s="1"/>
      <c r="D74" s="1"/>
      <c r="E74" s="1"/>
      <c r="F74" s="1"/>
      <c r="G74" s="1"/>
      <c r="H74" s="1"/>
    </row>
    <row r="75" spans="1:8" ht="20" customHeight="1">
      <c r="A75" s="1"/>
      <c r="B75" s="1"/>
      <c r="C75" s="1"/>
      <c r="D75" s="1"/>
      <c r="E75" s="1"/>
      <c r="F75" s="1"/>
      <c r="G75" s="1"/>
      <c r="H75" s="1"/>
    </row>
    <row r="76" spans="1:8" ht="20" customHeight="1">
      <c r="A76" s="1"/>
      <c r="B76" s="1"/>
      <c r="C76" s="1"/>
      <c r="D76" s="1"/>
      <c r="E76" s="1"/>
      <c r="F76" s="1"/>
      <c r="G76" s="1"/>
      <c r="H76" s="1"/>
    </row>
    <row r="77" spans="1:8" ht="20" customHeight="1">
      <c r="A77" s="1"/>
      <c r="B77" s="1"/>
      <c r="C77" s="1"/>
      <c r="D77" s="1"/>
      <c r="E77" s="1"/>
      <c r="F77" s="1"/>
      <c r="G77" s="1"/>
      <c r="H77" s="1"/>
    </row>
    <row r="78" spans="1:8" ht="20" customHeight="1">
      <c r="A78" s="1"/>
      <c r="B78" s="1"/>
      <c r="C78" s="1"/>
      <c r="D78" s="1"/>
      <c r="E78" s="1"/>
      <c r="F78" s="1"/>
      <c r="G78" s="1"/>
      <c r="H78" s="1"/>
    </row>
    <row r="79" spans="1:8" ht="20" customHeight="1">
      <c r="A79" s="1"/>
      <c r="B79" s="1"/>
      <c r="C79" s="1"/>
      <c r="D79" s="1"/>
      <c r="E79" s="1"/>
      <c r="F79" s="1"/>
      <c r="G79" s="1"/>
      <c r="H79" s="1"/>
    </row>
    <row r="80" spans="1:8" ht="20" customHeight="1">
      <c r="A80" s="1"/>
      <c r="B80" s="1"/>
      <c r="C80" s="1"/>
      <c r="D80" s="1"/>
      <c r="E80" s="1"/>
      <c r="F80" s="1"/>
      <c r="G80" s="1"/>
      <c r="H80" s="1"/>
    </row>
    <row r="81" spans="1:8" ht="20" customHeight="1">
      <c r="A81" s="1"/>
      <c r="B81" s="1"/>
      <c r="C81" s="1"/>
      <c r="D81" s="1"/>
      <c r="E81" s="1"/>
      <c r="F81" s="1"/>
      <c r="G81" s="1"/>
      <c r="H81" s="1"/>
    </row>
    <row r="82" spans="1:8" ht="20" customHeight="1">
      <c r="A82" s="1"/>
      <c r="B82" s="1"/>
      <c r="C82" s="1"/>
      <c r="D82" s="1"/>
      <c r="E82" s="1"/>
      <c r="F82" s="1"/>
      <c r="G82" s="1"/>
      <c r="H82" s="1"/>
    </row>
    <row r="83" spans="1:8" ht="20" customHeight="1">
      <c r="A83" s="1"/>
      <c r="B83" s="1"/>
      <c r="C83" s="1"/>
      <c r="D83" s="1"/>
      <c r="E83" s="1"/>
      <c r="F83" s="1"/>
      <c r="G83" s="1"/>
      <c r="H83" s="1"/>
    </row>
    <row r="84" spans="1:8" ht="20" customHeight="1">
      <c r="A84" s="1"/>
      <c r="B84" s="1"/>
      <c r="C84" s="1"/>
      <c r="D84" s="1"/>
      <c r="E84" s="1"/>
      <c r="F84" s="1"/>
      <c r="G84" s="1"/>
      <c r="H84" s="1"/>
    </row>
    <row r="85" spans="1:8" ht="20" customHeight="1">
      <c r="A85" s="1"/>
      <c r="B85" s="1"/>
      <c r="C85" s="1"/>
      <c r="D85" s="1"/>
      <c r="E85" s="1"/>
      <c r="F85" s="1"/>
      <c r="G85" s="1"/>
      <c r="H85" s="1"/>
    </row>
    <row r="86" spans="1:8" ht="20" customHeight="1">
      <c r="A86" s="1"/>
      <c r="B86" s="1"/>
      <c r="C86" s="1"/>
      <c r="D86" s="1"/>
      <c r="E86" s="1"/>
      <c r="F86" s="1"/>
      <c r="G86" s="1"/>
      <c r="H86" s="1"/>
    </row>
    <row r="87" spans="1:8" ht="20" customHeight="1">
      <c r="A87" s="1"/>
      <c r="B87" s="1"/>
      <c r="C87" s="1"/>
      <c r="D87" s="1"/>
      <c r="E87" s="1"/>
      <c r="F87" s="1"/>
      <c r="G87" s="1"/>
      <c r="H87" s="1"/>
    </row>
    <row r="88" spans="1:8" ht="20" customHeight="1">
      <c r="A88" s="1"/>
      <c r="B88" s="1"/>
      <c r="C88" s="1"/>
      <c r="D88" s="1"/>
      <c r="E88" s="1"/>
      <c r="F88" s="1"/>
      <c r="G88" s="1"/>
      <c r="H88" s="1"/>
    </row>
    <row r="89" spans="1:8" ht="20" customHeight="1">
      <c r="A89" s="1"/>
      <c r="B89" s="1"/>
      <c r="C89" s="1"/>
      <c r="D89" s="1"/>
      <c r="E89" s="1"/>
      <c r="F89" s="1"/>
      <c r="G89" s="1"/>
      <c r="H89" s="1"/>
    </row>
    <row r="90" spans="1:8" ht="20" customHeight="1">
      <c r="A90" s="1"/>
      <c r="B90" s="1"/>
      <c r="C90" s="1"/>
      <c r="D90" s="1"/>
      <c r="E90" s="1"/>
      <c r="F90" s="1"/>
      <c r="G90" s="1"/>
      <c r="H90" s="1"/>
    </row>
    <row r="91" spans="1:8" ht="20" customHeight="1">
      <c r="A91" s="1"/>
      <c r="B91" s="1"/>
      <c r="C91" s="1"/>
      <c r="D91" s="1"/>
      <c r="E91" s="1"/>
      <c r="F91" s="1"/>
      <c r="G91" s="1"/>
      <c r="H91" s="1"/>
    </row>
    <row r="92" spans="1:8" ht="20" customHeight="1">
      <c r="A92" s="1"/>
      <c r="B92" s="1"/>
      <c r="C92" s="1"/>
      <c r="D92" s="1"/>
      <c r="E92" s="1"/>
      <c r="F92" s="1"/>
      <c r="G92" s="1"/>
      <c r="H92" s="1"/>
    </row>
    <row r="93" spans="1:8" ht="20" customHeight="1">
      <c r="A93" s="1"/>
      <c r="B93" s="1"/>
      <c r="C93" s="1"/>
      <c r="D93" s="1"/>
      <c r="E93" s="1"/>
      <c r="F93" s="1"/>
      <c r="G93" s="1"/>
      <c r="H93" s="1"/>
    </row>
    <row r="94" spans="1:8" ht="20" customHeight="1">
      <c r="A94" s="1"/>
      <c r="B94" s="1"/>
      <c r="C94" s="1"/>
      <c r="D94" s="1"/>
      <c r="E94" s="1"/>
      <c r="F94" s="1"/>
      <c r="G94" s="1"/>
      <c r="H94" s="1"/>
    </row>
    <row r="95" spans="1:8" ht="20" customHeight="1">
      <c r="A95" s="1"/>
      <c r="B95" s="1"/>
      <c r="C95" s="1"/>
      <c r="D95" s="1"/>
      <c r="E95" s="1"/>
      <c r="F95" s="1"/>
      <c r="G95" s="1"/>
      <c r="H95" s="1"/>
    </row>
    <row r="96" spans="1:8" ht="20" customHeight="1">
      <c r="A96" s="1"/>
      <c r="B96" s="1"/>
      <c r="C96" s="1"/>
      <c r="D96" s="1"/>
      <c r="E96" s="1"/>
      <c r="F96" s="1"/>
      <c r="G96" s="1"/>
      <c r="H96" s="1"/>
    </row>
    <row r="97" spans="1:8" ht="20" customHeight="1">
      <c r="A97" s="1"/>
      <c r="B97" s="1"/>
      <c r="C97" s="1"/>
      <c r="D97" s="1"/>
      <c r="E97" s="1"/>
      <c r="F97" s="1"/>
      <c r="G97" s="1"/>
      <c r="H97" s="1"/>
    </row>
    <row r="98" spans="1:8" ht="20" customHeight="1">
      <c r="A98" s="1"/>
      <c r="B98" s="1"/>
      <c r="C98" s="1"/>
      <c r="D98" s="1"/>
      <c r="E98" s="1"/>
      <c r="F98" s="1"/>
      <c r="G98" s="1"/>
      <c r="H98" s="1"/>
    </row>
    <row r="99" spans="1:8" ht="20" customHeight="1">
      <c r="A99" s="1"/>
      <c r="B99" s="1"/>
      <c r="C99" s="1"/>
      <c r="D99" s="1"/>
      <c r="E99" s="1"/>
      <c r="F99" s="1"/>
      <c r="G99" s="1"/>
      <c r="H99" s="1"/>
    </row>
    <row r="100" spans="1:8" ht="20" customHeight="1">
      <c r="A100" s="1"/>
      <c r="B100" s="1"/>
      <c r="C100" s="1"/>
      <c r="D100" s="1"/>
      <c r="E100" s="1"/>
      <c r="F100" s="1"/>
      <c r="G100" s="1"/>
      <c r="H100" s="1"/>
    </row>
    <row r="101" spans="1:8" ht="20" customHeight="1">
      <c r="A101" s="1"/>
      <c r="B101" s="1"/>
      <c r="C101" s="1"/>
      <c r="D101" s="1"/>
      <c r="E101" s="1"/>
      <c r="F101" s="1"/>
      <c r="G101" s="1"/>
      <c r="H101" s="1"/>
    </row>
    <row r="102" spans="1:8" ht="20" customHeight="1">
      <c r="A102" s="1"/>
      <c r="B102" s="1"/>
      <c r="C102" s="1"/>
      <c r="D102" s="1"/>
      <c r="E102" s="1"/>
      <c r="F102" s="1"/>
      <c r="G102" s="1"/>
      <c r="H102" s="1"/>
    </row>
    <row r="103" spans="1:8" ht="20" customHeight="1">
      <c r="A103" s="1"/>
      <c r="B103" s="1"/>
      <c r="C103" s="1"/>
      <c r="D103" s="1"/>
      <c r="E103" s="1"/>
      <c r="F103" s="1"/>
      <c r="G103" s="1"/>
      <c r="H103" s="1"/>
    </row>
    <row r="104" spans="1:8" ht="20" customHeight="1">
      <c r="A104" s="1"/>
      <c r="B104" s="1"/>
      <c r="C104" s="1"/>
      <c r="D104" s="1"/>
      <c r="E104" s="1"/>
      <c r="F104" s="1"/>
      <c r="G104" s="1"/>
      <c r="H104" s="1"/>
    </row>
    <row r="105" spans="1:8" ht="20" customHeight="1">
      <c r="A105" s="1"/>
      <c r="B105" s="1"/>
      <c r="C105" s="1"/>
      <c r="D105" s="1"/>
      <c r="E105" s="1"/>
      <c r="F105" s="1"/>
      <c r="G105" s="1"/>
      <c r="H105" s="1"/>
    </row>
    <row r="106" spans="1:8" ht="20" customHeight="1">
      <c r="A106" s="1"/>
      <c r="B106" s="1"/>
      <c r="C106" s="1"/>
      <c r="D106" s="1"/>
      <c r="E106" s="1"/>
      <c r="F106" s="1"/>
      <c r="G106" s="1"/>
      <c r="H106" s="1"/>
    </row>
    <row r="107" spans="1:8" ht="20" customHeight="1">
      <c r="A107" s="1"/>
      <c r="B107" s="1"/>
      <c r="C107" s="1"/>
      <c r="D107" s="1"/>
      <c r="E107" s="1"/>
      <c r="F107" s="1"/>
      <c r="G107" s="1"/>
      <c r="H107" s="1"/>
    </row>
    <row r="108" spans="1:8" ht="20" customHeight="1">
      <c r="A108" s="1"/>
      <c r="B108" s="1"/>
      <c r="C108" s="1"/>
      <c r="D108" s="1"/>
      <c r="E108" s="1"/>
      <c r="F108" s="1"/>
      <c r="G108" s="1"/>
      <c r="H108" s="1"/>
    </row>
    <row r="109" spans="1:8" ht="20" customHeight="1">
      <c r="A109" s="1"/>
      <c r="B109" s="1"/>
      <c r="C109" s="1"/>
      <c r="D109" s="1"/>
      <c r="E109" s="1"/>
      <c r="F109" s="1"/>
      <c r="G109" s="1"/>
      <c r="H109" s="1"/>
    </row>
    <row r="110" spans="1:8" ht="20" customHeight="1">
      <c r="A110" s="1"/>
      <c r="B110" s="1"/>
      <c r="C110" s="1"/>
      <c r="D110" s="1"/>
      <c r="E110" s="1"/>
      <c r="F110" s="1"/>
      <c r="G110" s="1"/>
      <c r="H110" s="1"/>
    </row>
    <row r="111" spans="1:8" ht="20" customHeight="1">
      <c r="A111" s="1"/>
      <c r="B111" s="1"/>
      <c r="C111" s="1"/>
      <c r="D111" s="1"/>
      <c r="E111" s="1"/>
      <c r="F111" s="1"/>
      <c r="G111" s="1"/>
      <c r="H111" s="1"/>
    </row>
    <row r="112" spans="1:8" ht="20" customHeight="1">
      <c r="A112" s="1"/>
      <c r="B112" s="1"/>
      <c r="C112" s="1"/>
      <c r="D112" s="1"/>
      <c r="E112" s="1"/>
      <c r="F112" s="1"/>
      <c r="G112" s="1"/>
      <c r="H112" s="1"/>
    </row>
    <row r="113" spans="1:8" ht="20" customHeight="1">
      <c r="A113" s="1"/>
      <c r="B113" s="1"/>
      <c r="C113" s="1"/>
      <c r="D113" s="1"/>
      <c r="E113" s="1"/>
      <c r="F113" s="1"/>
      <c r="G113" s="1"/>
      <c r="H113" s="1"/>
    </row>
    <row r="114" spans="1:8" ht="20" customHeight="1">
      <c r="A114" s="1"/>
      <c r="B114" s="1"/>
      <c r="C114" s="1"/>
      <c r="D114" s="1"/>
      <c r="E114" s="1"/>
      <c r="F114" s="1"/>
      <c r="G114" s="1"/>
      <c r="H114" s="1"/>
    </row>
    <row r="115" spans="1:8" ht="20" customHeight="1">
      <c r="A115" s="1"/>
      <c r="B115" s="1"/>
      <c r="C115" s="1"/>
      <c r="D115" s="1"/>
      <c r="E115" s="1"/>
      <c r="F115" s="1"/>
      <c r="G115" s="1"/>
      <c r="H115" s="1"/>
    </row>
    <row r="116" spans="1:8" ht="20" customHeight="1">
      <c r="A116" s="1"/>
      <c r="B116" s="1"/>
      <c r="C116" s="1"/>
      <c r="D116" s="1"/>
      <c r="E116" s="1"/>
      <c r="F116" s="1"/>
      <c r="G116" s="1"/>
      <c r="H116" s="1"/>
    </row>
    <row r="117" spans="1:8" ht="20" customHeight="1">
      <c r="A117" s="1"/>
      <c r="B117" s="1"/>
      <c r="C117" s="1"/>
      <c r="D117" s="1"/>
      <c r="E117" s="1"/>
      <c r="F117" s="1"/>
      <c r="G117" s="1"/>
      <c r="H117" s="1"/>
    </row>
    <row r="118" spans="1:8" ht="20" customHeight="1">
      <c r="A118" s="1"/>
      <c r="B118" s="1"/>
      <c r="C118" s="1"/>
      <c r="D118" s="1"/>
      <c r="E118" s="1"/>
      <c r="F118" s="1"/>
      <c r="G118" s="1"/>
      <c r="H118" s="1"/>
    </row>
    <row r="119" spans="1:8" ht="20" customHeight="1">
      <c r="A119" s="1"/>
      <c r="B119" s="1"/>
      <c r="C119" s="1"/>
      <c r="D119" s="1"/>
      <c r="E119" s="1"/>
      <c r="F119" s="1"/>
      <c r="G119" s="1"/>
      <c r="H119" s="1"/>
    </row>
    <row r="120" spans="1:8" ht="20" customHeight="1">
      <c r="A120" s="1"/>
      <c r="B120" s="1"/>
      <c r="C120" s="1"/>
      <c r="D120" s="1"/>
      <c r="E120" s="1"/>
      <c r="F120" s="1"/>
      <c r="G120" s="1"/>
      <c r="H12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"/>
  <sheetViews>
    <sheetView workbookViewId="0"/>
  </sheetViews>
  <sheetFormatPr baseColWidth="10" defaultColWidth="8.83203125" defaultRowHeight="14"/>
  <cols>
    <col min="1" max="1" width="36.83203125" customWidth="1"/>
    <col min="2" max="2" width="72.1640625" customWidth="1"/>
  </cols>
  <sheetData>
    <row r="1" spans="1:8" ht="20" customHeight="1">
      <c r="A1" s="5" t="s">
        <v>243</v>
      </c>
      <c r="B1" s="6"/>
      <c r="C1" s="1"/>
      <c r="D1" s="1"/>
      <c r="E1" s="1"/>
      <c r="F1" s="1"/>
      <c r="G1" s="1"/>
      <c r="H1" s="1"/>
    </row>
    <row r="2" spans="1:8" ht="20" customHeight="1">
      <c r="A2" s="1" t="s">
        <v>244</v>
      </c>
      <c r="B2" s="1" t="s">
        <v>245</v>
      </c>
      <c r="C2" s="1"/>
      <c r="D2" s="1"/>
      <c r="E2" s="1"/>
      <c r="F2" s="1"/>
      <c r="G2" s="1"/>
      <c r="H2" s="1"/>
    </row>
    <row r="3" spans="1:8" ht="20" customHeight="1">
      <c r="A3" s="1"/>
      <c r="B3" s="1"/>
      <c r="C3" s="1"/>
      <c r="D3" s="1"/>
      <c r="E3" s="1"/>
      <c r="F3" s="1"/>
      <c r="G3" s="1"/>
      <c r="H3" s="1"/>
    </row>
    <row r="4" spans="1:8" ht="20" customHeight="1">
      <c r="A4" s="1" t="s">
        <v>246</v>
      </c>
      <c r="B4" s="1">
        <v>1</v>
      </c>
      <c r="C4" s="1"/>
      <c r="D4" s="1"/>
      <c r="E4" s="1"/>
      <c r="F4" s="1"/>
      <c r="G4" s="1"/>
      <c r="H4" s="1"/>
    </row>
    <row r="5" spans="1:8" ht="20" customHeight="1">
      <c r="A5" s="1" t="s">
        <v>247</v>
      </c>
      <c r="B5" s="1">
        <v>5</v>
      </c>
      <c r="C5" s="1"/>
      <c r="D5" s="1"/>
      <c r="E5" s="1"/>
      <c r="F5" s="1"/>
      <c r="G5" s="1"/>
      <c r="H5" s="1"/>
    </row>
    <row r="6" spans="1:8" ht="20" customHeight="1">
      <c r="A6" s="1" t="s">
        <v>248</v>
      </c>
      <c r="B6" s="1">
        <v>500</v>
      </c>
      <c r="C6" s="1"/>
      <c r="D6" s="1"/>
      <c r="E6" s="1"/>
      <c r="F6" s="1"/>
      <c r="G6" s="1"/>
      <c r="H6" s="1"/>
    </row>
    <row r="7" spans="1:8" ht="20" customHeight="1">
      <c r="A7" s="1" t="s">
        <v>249</v>
      </c>
      <c r="B7" s="4">
        <v>300000</v>
      </c>
      <c r="C7" s="1"/>
      <c r="D7" s="1"/>
      <c r="E7" s="1"/>
      <c r="F7" s="1"/>
      <c r="G7" s="1"/>
      <c r="H7" s="1"/>
    </row>
    <row r="8" spans="1:8" ht="20" customHeight="1">
      <c r="A8" s="1" t="s">
        <v>250</v>
      </c>
      <c r="B8" s="1">
        <v>3</v>
      </c>
      <c r="C8" s="1"/>
      <c r="D8" s="1"/>
      <c r="E8" s="1"/>
      <c r="F8" s="1"/>
      <c r="G8" s="1"/>
      <c r="H8" s="1"/>
    </row>
    <row r="9" spans="1:8" ht="20" customHeight="1">
      <c r="A9" s="1" t="s">
        <v>251</v>
      </c>
      <c r="B9" s="1" t="s">
        <v>252</v>
      </c>
      <c r="C9" s="1"/>
      <c r="D9" s="1"/>
      <c r="E9" s="1"/>
      <c r="F9" s="1"/>
      <c r="G9" s="1"/>
      <c r="H9" s="1"/>
    </row>
    <row r="10" spans="1:8" ht="20" customHeight="1">
      <c r="A10" s="1" t="s">
        <v>253</v>
      </c>
      <c r="B10" s="1" t="s">
        <v>252</v>
      </c>
      <c r="C10" s="1"/>
      <c r="D10" s="1"/>
      <c r="E10" s="1"/>
      <c r="F10" s="1"/>
      <c r="G10" s="1"/>
      <c r="H10" s="1"/>
    </row>
    <row r="11" spans="1:8" ht="20" customHeight="1">
      <c r="A11" s="1" t="s">
        <v>254</v>
      </c>
      <c r="B11" s="1" t="s">
        <v>252</v>
      </c>
      <c r="C11" s="1"/>
      <c r="D11" s="1"/>
      <c r="E11" s="1"/>
      <c r="F11" s="1"/>
      <c r="G11" s="1"/>
      <c r="H11" s="1"/>
    </row>
    <row r="12" spans="1:8" ht="20" customHeight="1">
      <c r="A12" s="1" t="s">
        <v>255</v>
      </c>
      <c r="B12" s="1" t="s">
        <v>252</v>
      </c>
      <c r="C12" s="1"/>
      <c r="D12" s="1"/>
      <c r="E12" s="1"/>
      <c r="F12" s="1"/>
      <c r="G12" s="1"/>
      <c r="H12" s="1"/>
    </row>
    <row r="13" spans="1:8" ht="20" customHeight="1">
      <c r="A13" s="1" t="s">
        <v>256</v>
      </c>
      <c r="B13" s="1" t="s">
        <v>252</v>
      </c>
      <c r="C13" s="1"/>
      <c r="D13" s="1"/>
      <c r="E13" s="1"/>
      <c r="F13" s="1"/>
      <c r="G13" s="1"/>
      <c r="H13" s="1"/>
    </row>
    <row r="14" spans="1:8" ht="20" customHeight="1">
      <c r="A14" s="1" t="s">
        <v>257</v>
      </c>
      <c r="B14" s="1" t="s">
        <v>252</v>
      </c>
      <c r="C14" s="1"/>
      <c r="D14" s="1"/>
      <c r="E14" s="1"/>
      <c r="F14" s="1"/>
      <c r="G14" s="1"/>
      <c r="H14" s="1"/>
    </row>
    <row r="15" spans="1:8" ht="20" customHeight="1">
      <c r="A15" s="1"/>
      <c r="B15" s="1"/>
      <c r="C15" s="1"/>
      <c r="D15" s="1"/>
      <c r="E15" s="1"/>
      <c r="F15" s="1"/>
      <c r="G15" s="1"/>
      <c r="H15" s="1"/>
    </row>
    <row r="16" spans="1:8" ht="20" customHeight="1">
      <c r="A16" s="1" t="s">
        <v>258</v>
      </c>
      <c r="B16" s="1">
        <f>Wyniki!B4</f>
        <v>40.5</v>
      </c>
      <c r="C16" s="1"/>
      <c r="D16" s="1"/>
      <c r="E16" s="1"/>
      <c r="F16" s="1"/>
      <c r="G16" s="1"/>
      <c r="H16" s="1"/>
    </row>
    <row r="17" spans="1:8" ht="20" customHeight="1">
      <c r="A17" s="1" t="s">
        <v>212</v>
      </c>
      <c r="B17" s="1" t="str">
        <f>Wyniki!B5</f>
        <v>Silver</v>
      </c>
      <c r="C17" s="1"/>
      <c r="D17" s="1"/>
      <c r="E17" s="1"/>
      <c r="F17" s="1"/>
      <c r="G17" s="1"/>
      <c r="H17" s="1"/>
    </row>
    <row r="18" spans="1:8" ht="20" customHeight="1">
      <c r="A18" s="1" t="s">
        <v>259</v>
      </c>
      <c r="B18" s="1">
        <f>ROUND(1+(B4-1)*0.15+(B5/10)*0.08+(B6/1000)*0.15+(B8*0.05)+IF(B9="TAK",0.15,0)+IF(B10="TAK",0.1,0)+IF(B13="TAK",0.1,0)+IF(B14="TAK",0.1,0),2)</f>
        <v>1.72</v>
      </c>
      <c r="C18" s="1"/>
      <c r="D18" s="1"/>
      <c r="E18" s="1"/>
      <c r="F18" s="1"/>
      <c r="G18" s="1"/>
      <c r="H18" s="1"/>
    </row>
    <row r="19" spans="1:8" ht="20" customHeight="1">
      <c r="A19" s="1" t="s">
        <v>260</v>
      </c>
      <c r="B19" s="4">
        <f>ROUND(IF(B16&lt;26,3500,IF(B16&lt;51,6000,IF(B16&lt;71,9000,IF(B16&lt;86,12000,16000))))*B18,0)</f>
        <v>10320</v>
      </c>
      <c r="C19" s="1"/>
      <c r="D19" s="1"/>
      <c r="E19" s="1"/>
      <c r="F19" s="1"/>
      <c r="G19" s="1"/>
      <c r="H19" s="1"/>
    </row>
    <row r="20" spans="1:8" ht="20" customHeight="1">
      <c r="A20" s="1" t="s">
        <v>261</v>
      </c>
      <c r="B20" s="4">
        <f>ROUND(IF(B16&lt;26,5500,IF(B16&lt;51,9000,IF(B16&lt;71,14000,IF(B16&lt;86,20000,30000))))*B18,0)</f>
        <v>15480</v>
      </c>
      <c r="C20" s="1"/>
      <c r="D20" s="1"/>
      <c r="E20" s="1"/>
      <c r="F20" s="1"/>
      <c r="G20" s="1"/>
      <c r="H20" s="1"/>
    </row>
    <row r="21" spans="1:8" ht="20" customHeight="1">
      <c r="A21" s="1" t="s">
        <v>262</v>
      </c>
      <c r="B21" s="4">
        <f>ROUND(IF(B10="TAK",12000,5000)*B18,0)</f>
        <v>20640</v>
      </c>
      <c r="C21" s="1"/>
      <c r="D21" s="1"/>
      <c r="E21" s="1"/>
      <c r="F21" s="1"/>
      <c r="G21" s="1"/>
      <c r="H21" s="1"/>
    </row>
    <row r="22" spans="1:8" ht="20" customHeight="1">
      <c r="A22" s="1" t="s">
        <v>263</v>
      </c>
      <c r="B22" s="4">
        <f>ROUND(IF(B10="TAK",30000,15000)*B18,0)</f>
        <v>51600</v>
      </c>
      <c r="C22" s="1"/>
      <c r="D22" s="1"/>
      <c r="E22" s="1"/>
      <c r="F22" s="1"/>
      <c r="G22" s="1"/>
      <c r="H22" s="1"/>
    </row>
    <row r="23" spans="1:8" ht="20" customHeight="1">
      <c r="A23" s="1" t="s">
        <v>264</v>
      </c>
      <c r="B23" s="4">
        <f>ROUND(MAX(3000,B7*0.02),0)</f>
        <v>6000</v>
      </c>
      <c r="C23" s="1"/>
      <c r="D23" s="1"/>
      <c r="E23" s="1"/>
      <c r="F23" s="1"/>
      <c r="G23" s="1"/>
      <c r="H23" s="1"/>
    </row>
    <row r="24" spans="1:8" ht="20" customHeight="1">
      <c r="A24" s="1"/>
      <c r="B24" s="1"/>
      <c r="C24" s="1"/>
      <c r="D24" s="1"/>
      <c r="E24" s="1"/>
      <c r="F24" s="1"/>
      <c r="G24" s="1"/>
      <c r="H24" s="1"/>
    </row>
    <row r="25" spans="1:8" ht="20" customHeight="1">
      <c r="A25" s="1"/>
      <c r="B25" s="1"/>
      <c r="C25" s="1"/>
      <c r="D25" s="1"/>
      <c r="E25" s="1"/>
      <c r="F25" s="1"/>
      <c r="G25" s="1"/>
      <c r="H25" s="1"/>
    </row>
    <row r="26" spans="1:8" ht="20" customHeight="1">
      <c r="A26" s="1"/>
      <c r="B26" s="1"/>
      <c r="C26" s="1"/>
      <c r="D26" s="1"/>
      <c r="E26" s="1"/>
      <c r="F26" s="1"/>
      <c r="G26" s="1"/>
      <c r="H26" s="1"/>
    </row>
    <row r="27" spans="1:8" ht="20" customHeight="1">
      <c r="A27" s="1"/>
      <c r="B27" s="1"/>
      <c r="C27" s="1"/>
      <c r="D27" s="1"/>
      <c r="E27" s="1"/>
      <c r="F27" s="1"/>
      <c r="G27" s="1"/>
      <c r="H27" s="1"/>
    </row>
    <row r="28" spans="1:8" ht="20" customHeight="1">
      <c r="A28" s="1"/>
      <c r="B28" s="1"/>
      <c r="C28" s="1"/>
      <c r="D28" s="1"/>
      <c r="E28" s="1"/>
      <c r="F28" s="1"/>
      <c r="G28" s="1"/>
      <c r="H28" s="1"/>
    </row>
    <row r="29" spans="1:8" ht="20" customHeight="1">
      <c r="A29" s="1"/>
      <c r="B29" s="1"/>
      <c r="C29" s="1"/>
      <c r="D29" s="1"/>
      <c r="E29" s="1"/>
      <c r="F29" s="1"/>
      <c r="G29" s="1"/>
      <c r="H29" s="1"/>
    </row>
    <row r="30" spans="1:8" ht="20" customHeight="1">
      <c r="A30" s="1"/>
      <c r="B30" s="1"/>
      <c r="C30" s="1"/>
      <c r="D30" s="1"/>
      <c r="E30" s="1"/>
      <c r="F30" s="1"/>
      <c r="G30" s="1"/>
      <c r="H30" s="1"/>
    </row>
    <row r="31" spans="1:8" ht="20" customHeight="1">
      <c r="A31" s="1"/>
      <c r="B31" s="1"/>
      <c r="C31" s="1"/>
      <c r="D31" s="1"/>
      <c r="E31" s="1"/>
      <c r="F31" s="1"/>
      <c r="G31" s="1"/>
      <c r="H31" s="1"/>
    </row>
    <row r="32" spans="1:8" ht="20" customHeight="1">
      <c r="A32" s="1"/>
      <c r="B32" s="1"/>
      <c r="C32" s="1"/>
      <c r="D32" s="1"/>
      <c r="E32" s="1"/>
      <c r="F32" s="1"/>
      <c r="G32" s="1"/>
      <c r="H32" s="1"/>
    </row>
    <row r="33" spans="1:8" ht="20" customHeight="1">
      <c r="A33" s="1"/>
      <c r="B33" s="1"/>
      <c r="C33" s="1"/>
      <c r="D33" s="1"/>
      <c r="E33" s="1"/>
      <c r="F33" s="1"/>
      <c r="G33" s="1"/>
      <c r="H33" s="1"/>
    </row>
    <row r="34" spans="1:8" ht="20" customHeight="1">
      <c r="A34" s="1"/>
      <c r="B34" s="1"/>
      <c r="C34" s="1"/>
      <c r="D34" s="1"/>
      <c r="E34" s="1"/>
      <c r="F34" s="1"/>
      <c r="G34" s="1"/>
      <c r="H34" s="1"/>
    </row>
    <row r="35" spans="1:8" ht="20" customHeight="1">
      <c r="A35" s="1"/>
      <c r="B35" s="1"/>
      <c r="C35" s="1"/>
      <c r="D35" s="1"/>
      <c r="E35" s="1"/>
      <c r="F35" s="1"/>
      <c r="G35" s="1"/>
      <c r="H35" s="1"/>
    </row>
    <row r="36" spans="1:8" ht="20" customHeight="1">
      <c r="A36" s="1"/>
      <c r="B36" s="1"/>
      <c r="C36" s="1"/>
      <c r="D36" s="1"/>
      <c r="E36" s="1"/>
      <c r="F36" s="1"/>
      <c r="G36" s="1"/>
      <c r="H36" s="1"/>
    </row>
    <row r="37" spans="1:8" ht="20" customHeight="1">
      <c r="A37" s="1"/>
      <c r="B37" s="1"/>
      <c r="C37" s="1"/>
      <c r="D37" s="1"/>
      <c r="E37" s="1"/>
      <c r="F37" s="1"/>
      <c r="G37" s="1"/>
      <c r="H37" s="1"/>
    </row>
    <row r="38" spans="1:8" ht="20" customHeight="1">
      <c r="A38" s="1"/>
      <c r="B38" s="1"/>
      <c r="C38" s="1"/>
      <c r="D38" s="1"/>
      <c r="E38" s="1"/>
      <c r="F38" s="1"/>
      <c r="G38" s="1"/>
      <c r="H38" s="1"/>
    </row>
    <row r="39" spans="1:8" ht="20" customHeight="1">
      <c r="A39" s="1"/>
      <c r="B39" s="1"/>
      <c r="C39" s="1"/>
      <c r="D39" s="1"/>
      <c r="E39" s="1"/>
      <c r="F39" s="1"/>
      <c r="G39" s="1"/>
      <c r="H39" s="1"/>
    </row>
    <row r="40" spans="1:8" ht="20" customHeight="1">
      <c r="A40" s="1"/>
      <c r="B40" s="1"/>
      <c r="C40" s="1"/>
      <c r="D40" s="1"/>
      <c r="E40" s="1"/>
      <c r="F40" s="1"/>
      <c r="G40" s="1"/>
      <c r="H40" s="1"/>
    </row>
    <row r="41" spans="1:8" ht="20" customHeight="1">
      <c r="A41" s="1"/>
      <c r="B41" s="1"/>
      <c r="C41" s="1"/>
      <c r="D41" s="1"/>
      <c r="E41" s="1"/>
      <c r="F41" s="1"/>
      <c r="G41" s="1"/>
      <c r="H41" s="1"/>
    </row>
    <row r="42" spans="1:8" ht="20" customHeight="1">
      <c r="A42" s="1"/>
      <c r="B42" s="1"/>
      <c r="C42" s="1"/>
      <c r="D42" s="1"/>
      <c r="E42" s="1"/>
      <c r="F42" s="1"/>
      <c r="G42" s="1"/>
      <c r="H42" s="1"/>
    </row>
    <row r="43" spans="1:8" ht="20" customHeight="1">
      <c r="A43" s="1"/>
      <c r="B43" s="1"/>
      <c r="C43" s="1"/>
      <c r="D43" s="1"/>
      <c r="E43" s="1"/>
      <c r="F43" s="1"/>
      <c r="G43" s="1"/>
      <c r="H43" s="1"/>
    </row>
    <row r="44" spans="1:8" ht="20" customHeight="1">
      <c r="A44" s="1"/>
      <c r="B44" s="1"/>
      <c r="C44" s="1"/>
      <c r="D44" s="1"/>
      <c r="E44" s="1"/>
      <c r="F44" s="1"/>
      <c r="G44" s="1"/>
      <c r="H44" s="1"/>
    </row>
    <row r="45" spans="1:8" ht="20" customHeight="1">
      <c r="A45" s="1"/>
      <c r="B45" s="1"/>
      <c r="C45" s="1"/>
      <c r="D45" s="1"/>
      <c r="E45" s="1"/>
      <c r="F45" s="1"/>
      <c r="G45" s="1"/>
      <c r="H45" s="1"/>
    </row>
    <row r="46" spans="1:8" ht="20" customHeight="1">
      <c r="A46" s="1"/>
      <c r="B46" s="1"/>
      <c r="C46" s="1"/>
      <c r="D46" s="1"/>
      <c r="E46" s="1"/>
      <c r="F46" s="1"/>
      <c r="G46" s="1"/>
      <c r="H46" s="1"/>
    </row>
    <row r="47" spans="1:8" ht="20" customHeight="1">
      <c r="A47" s="1"/>
      <c r="B47" s="1"/>
      <c r="C47" s="1"/>
      <c r="D47" s="1"/>
      <c r="E47" s="1"/>
      <c r="F47" s="1"/>
      <c r="G47" s="1"/>
      <c r="H47" s="1"/>
    </row>
    <row r="48" spans="1:8" ht="20" customHeight="1">
      <c r="A48" s="1"/>
      <c r="B48" s="1"/>
      <c r="C48" s="1"/>
      <c r="D48" s="1"/>
      <c r="E48" s="1"/>
      <c r="F48" s="1"/>
      <c r="G48" s="1"/>
      <c r="H48" s="1"/>
    </row>
    <row r="49" spans="1:8" ht="20" customHeight="1">
      <c r="A49" s="1"/>
      <c r="B49" s="1"/>
      <c r="C49" s="1"/>
      <c r="D49" s="1"/>
      <c r="E49" s="1"/>
      <c r="F49" s="1"/>
      <c r="G49" s="1"/>
      <c r="H49" s="1"/>
    </row>
    <row r="50" spans="1:8" ht="20" customHeight="1">
      <c r="A50" s="1"/>
      <c r="B50" s="1"/>
      <c r="C50" s="1"/>
      <c r="D50" s="1"/>
      <c r="E50" s="1"/>
      <c r="F50" s="1"/>
      <c r="G50" s="1"/>
      <c r="H50" s="1"/>
    </row>
    <row r="51" spans="1:8" ht="20" customHeight="1">
      <c r="A51" s="1"/>
      <c r="B51" s="1"/>
      <c r="C51" s="1"/>
      <c r="D51" s="1"/>
      <c r="E51" s="1"/>
      <c r="F51" s="1"/>
      <c r="G51" s="1"/>
      <c r="H51" s="1"/>
    </row>
    <row r="52" spans="1:8" ht="20" customHeight="1">
      <c r="A52" s="1"/>
      <c r="B52" s="1"/>
      <c r="C52" s="1"/>
      <c r="D52" s="1"/>
      <c r="E52" s="1"/>
      <c r="F52" s="1"/>
      <c r="G52" s="1"/>
      <c r="H52" s="1"/>
    </row>
    <row r="53" spans="1:8" ht="20" customHeight="1">
      <c r="A53" s="1"/>
      <c r="B53" s="1"/>
      <c r="C53" s="1"/>
      <c r="D53" s="1"/>
      <c r="E53" s="1"/>
      <c r="F53" s="1"/>
      <c r="G53" s="1"/>
      <c r="H53" s="1"/>
    </row>
    <row r="54" spans="1:8" ht="20" customHeight="1">
      <c r="A54" s="1"/>
      <c r="B54" s="1"/>
      <c r="C54" s="1"/>
      <c r="D54" s="1"/>
      <c r="E54" s="1"/>
      <c r="F54" s="1"/>
      <c r="G54" s="1"/>
      <c r="H54" s="1"/>
    </row>
    <row r="55" spans="1:8" ht="20" customHeight="1">
      <c r="A55" s="1"/>
      <c r="B55" s="1"/>
      <c r="C55" s="1"/>
      <c r="D55" s="1"/>
      <c r="E55" s="1"/>
      <c r="F55" s="1"/>
      <c r="G55" s="1"/>
      <c r="H55" s="1"/>
    </row>
    <row r="56" spans="1:8" ht="20" customHeight="1">
      <c r="A56" s="1"/>
      <c r="B56" s="1"/>
      <c r="C56" s="1"/>
      <c r="D56" s="1"/>
      <c r="E56" s="1"/>
      <c r="F56" s="1"/>
      <c r="G56" s="1"/>
      <c r="H56" s="1"/>
    </row>
    <row r="57" spans="1:8" ht="20" customHeight="1">
      <c r="A57" s="1"/>
      <c r="B57" s="1"/>
      <c r="C57" s="1"/>
      <c r="D57" s="1"/>
      <c r="E57" s="1"/>
      <c r="F57" s="1"/>
      <c r="G57" s="1"/>
      <c r="H57" s="1"/>
    </row>
    <row r="58" spans="1:8" ht="20" customHeight="1">
      <c r="A58" s="1"/>
      <c r="B58" s="1"/>
      <c r="C58" s="1"/>
      <c r="D58" s="1"/>
      <c r="E58" s="1"/>
      <c r="F58" s="1"/>
      <c r="G58" s="1"/>
      <c r="H58" s="1"/>
    </row>
    <row r="59" spans="1:8" ht="20" customHeight="1">
      <c r="A59" s="1"/>
      <c r="B59" s="1"/>
      <c r="C59" s="1"/>
      <c r="D59" s="1"/>
      <c r="E59" s="1"/>
      <c r="F59" s="1"/>
      <c r="G59" s="1"/>
      <c r="H59" s="1"/>
    </row>
    <row r="60" spans="1:8" ht="20" customHeight="1">
      <c r="A60" s="1"/>
      <c r="B60" s="1"/>
      <c r="C60" s="1"/>
      <c r="D60" s="1"/>
      <c r="E60" s="1"/>
      <c r="F60" s="1"/>
      <c r="G60" s="1"/>
      <c r="H60" s="1"/>
    </row>
    <row r="61" spans="1:8" ht="20" customHeight="1">
      <c r="A61" s="1"/>
      <c r="B61" s="1"/>
      <c r="C61" s="1"/>
      <c r="D61" s="1"/>
      <c r="E61" s="1"/>
      <c r="F61" s="1"/>
      <c r="G61" s="1"/>
      <c r="H61" s="1"/>
    </row>
    <row r="62" spans="1:8" ht="20" customHeight="1">
      <c r="A62" s="1"/>
      <c r="B62" s="1"/>
      <c r="C62" s="1"/>
      <c r="D62" s="1"/>
      <c r="E62" s="1"/>
      <c r="F62" s="1"/>
      <c r="G62" s="1"/>
      <c r="H62" s="1"/>
    </row>
    <row r="63" spans="1:8" ht="20" customHeight="1">
      <c r="A63" s="1"/>
      <c r="B63" s="1"/>
      <c r="C63" s="1"/>
      <c r="D63" s="1"/>
      <c r="E63" s="1"/>
      <c r="F63" s="1"/>
      <c r="G63" s="1"/>
      <c r="H63" s="1"/>
    </row>
    <row r="64" spans="1:8" ht="20" customHeight="1">
      <c r="A64" s="1"/>
      <c r="B64" s="1"/>
      <c r="C64" s="1"/>
      <c r="D64" s="1"/>
      <c r="E64" s="1"/>
      <c r="F64" s="1"/>
      <c r="G64" s="1"/>
      <c r="H64" s="1"/>
    </row>
    <row r="65" spans="1:8" ht="20" customHeight="1">
      <c r="A65" s="1"/>
      <c r="B65" s="1"/>
      <c r="C65" s="1"/>
      <c r="D65" s="1"/>
      <c r="E65" s="1"/>
      <c r="F65" s="1"/>
      <c r="G65" s="1"/>
      <c r="H65" s="1"/>
    </row>
    <row r="66" spans="1:8" ht="20" customHeight="1">
      <c r="A66" s="1"/>
      <c r="B66" s="1"/>
      <c r="C66" s="1"/>
      <c r="D66" s="1"/>
      <c r="E66" s="1"/>
      <c r="F66" s="1"/>
      <c r="G66" s="1"/>
      <c r="H66" s="1"/>
    </row>
    <row r="67" spans="1:8" ht="20" customHeight="1">
      <c r="A67" s="1"/>
      <c r="B67" s="1"/>
      <c r="C67" s="1"/>
      <c r="D67" s="1"/>
      <c r="E67" s="1"/>
      <c r="F67" s="1"/>
      <c r="G67" s="1"/>
      <c r="H67" s="1"/>
    </row>
    <row r="68" spans="1:8" ht="20" customHeight="1">
      <c r="A68" s="1"/>
      <c r="B68" s="1"/>
      <c r="C68" s="1"/>
      <c r="D68" s="1"/>
      <c r="E68" s="1"/>
      <c r="F68" s="1"/>
      <c r="G68" s="1"/>
      <c r="H68" s="1"/>
    </row>
    <row r="69" spans="1:8" ht="20" customHeight="1">
      <c r="A69" s="1"/>
      <c r="B69" s="1"/>
      <c r="C69" s="1"/>
      <c r="D69" s="1"/>
      <c r="E69" s="1"/>
      <c r="F69" s="1"/>
      <c r="G69" s="1"/>
      <c r="H69" s="1"/>
    </row>
    <row r="70" spans="1:8" ht="20" customHeight="1">
      <c r="A70" s="1"/>
      <c r="B70" s="1"/>
      <c r="C70" s="1"/>
      <c r="D70" s="1"/>
      <c r="E70" s="1"/>
      <c r="F70" s="1"/>
      <c r="G70" s="1"/>
      <c r="H70" s="1"/>
    </row>
    <row r="71" spans="1:8" ht="20" customHeight="1">
      <c r="A71" s="1"/>
      <c r="B71" s="1"/>
      <c r="C71" s="1"/>
      <c r="D71" s="1"/>
      <c r="E71" s="1"/>
      <c r="F71" s="1"/>
      <c r="G71" s="1"/>
      <c r="H71" s="1"/>
    </row>
    <row r="72" spans="1:8" ht="20" customHeight="1">
      <c r="A72" s="1"/>
      <c r="B72" s="1"/>
      <c r="C72" s="1"/>
      <c r="D72" s="1"/>
      <c r="E72" s="1"/>
      <c r="F72" s="1"/>
      <c r="G72" s="1"/>
      <c r="H72" s="1"/>
    </row>
    <row r="73" spans="1:8" ht="20" customHeight="1">
      <c r="A73" s="1"/>
      <c r="B73" s="1"/>
      <c r="C73" s="1"/>
      <c r="D73" s="1"/>
      <c r="E73" s="1"/>
      <c r="F73" s="1"/>
      <c r="G73" s="1"/>
      <c r="H73" s="1"/>
    </row>
    <row r="74" spans="1:8" ht="20" customHeight="1">
      <c r="A74" s="1"/>
      <c r="B74" s="1"/>
      <c r="C74" s="1"/>
      <c r="D74" s="1"/>
      <c r="E74" s="1"/>
      <c r="F74" s="1"/>
      <c r="G74" s="1"/>
      <c r="H74" s="1"/>
    </row>
    <row r="75" spans="1:8" ht="20" customHeight="1">
      <c r="A75" s="1"/>
      <c r="B75" s="1"/>
      <c r="C75" s="1"/>
      <c r="D75" s="1"/>
      <c r="E75" s="1"/>
      <c r="F75" s="1"/>
      <c r="G75" s="1"/>
      <c r="H75" s="1"/>
    </row>
    <row r="76" spans="1:8" ht="20" customHeight="1">
      <c r="A76" s="1"/>
      <c r="B76" s="1"/>
      <c r="C76" s="1"/>
      <c r="D76" s="1"/>
      <c r="E76" s="1"/>
      <c r="F76" s="1"/>
      <c r="G76" s="1"/>
      <c r="H76" s="1"/>
    </row>
    <row r="77" spans="1:8" ht="20" customHeight="1">
      <c r="A77" s="1"/>
      <c r="B77" s="1"/>
      <c r="C77" s="1"/>
      <c r="D77" s="1"/>
      <c r="E77" s="1"/>
      <c r="F77" s="1"/>
      <c r="G77" s="1"/>
      <c r="H77" s="1"/>
    </row>
    <row r="78" spans="1:8" ht="20" customHeight="1">
      <c r="A78" s="1"/>
      <c r="B78" s="1"/>
      <c r="C78" s="1"/>
      <c r="D78" s="1"/>
      <c r="E78" s="1"/>
      <c r="F78" s="1"/>
      <c r="G78" s="1"/>
      <c r="H78" s="1"/>
    </row>
    <row r="79" spans="1:8" ht="20" customHeight="1">
      <c r="A79" s="1"/>
      <c r="B79" s="1"/>
      <c r="C79" s="1"/>
      <c r="D79" s="1"/>
      <c r="E79" s="1"/>
      <c r="F79" s="1"/>
      <c r="G79" s="1"/>
      <c r="H79" s="1"/>
    </row>
    <row r="80" spans="1:8" ht="20" customHeight="1">
      <c r="A80" s="1"/>
      <c r="B80" s="1"/>
      <c r="C80" s="1"/>
      <c r="D80" s="1"/>
      <c r="E80" s="1"/>
      <c r="F80" s="1"/>
      <c r="G80" s="1"/>
      <c r="H80" s="1"/>
    </row>
    <row r="81" spans="1:8" ht="20" customHeight="1">
      <c r="A81" s="1"/>
      <c r="B81" s="1"/>
      <c r="C81" s="1"/>
      <c r="D81" s="1"/>
      <c r="E81" s="1"/>
      <c r="F81" s="1"/>
      <c r="G81" s="1"/>
      <c r="H81" s="1"/>
    </row>
    <row r="82" spans="1:8" ht="20" customHeight="1">
      <c r="A82" s="1"/>
      <c r="B82" s="1"/>
      <c r="C82" s="1"/>
      <c r="D82" s="1"/>
      <c r="E82" s="1"/>
      <c r="F82" s="1"/>
      <c r="G82" s="1"/>
      <c r="H82" s="1"/>
    </row>
    <row r="83" spans="1:8" ht="20" customHeight="1">
      <c r="A83" s="1"/>
      <c r="B83" s="1"/>
      <c r="C83" s="1"/>
      <c r="D83" s="1"/>
      <c r="E83" s="1"/>
      <c r="F83" s="1"/>
      <c r="G83" s="1"/>
      <c r="H83" s="1"/>
    </row>
    <row r="84" spans="1:8" ht="20" customHeight="1">
      <c r="A84" s="1"/>
      <c r="B84" s="1"/>
      <c r="C84" s="1"/>
      <c r="D84" s="1"/>
      <c r="E84" s="1"/>
      <c r="F84" s="1"/>
      <c r="G84" s="1"/>
      <c r="H84" s="1"/>
    </row>
    <row r="85" spans="1:8" ht="20" customHeight="1">
      <c r="A85" s="1"/>
      <c r="B85" s="1"/>
      <c r="C85" s="1"/>
      <c r="D85" s="1"/>
      <c r="E85" s="1"/>
      <c r="F85" s="1"/>
      <c r="G85" s="1"/>
      <c r="H85" s="1"/>
    </row>
    <row r="86" spans="1:8" ht="20" customHeight="1">
      <c r="A86" s="1"/>
      <c r="B86" s="1"/>
      <c r="C86" s="1"/>
      <c r="D86" s="1"/>
      <c r="E86" s="1"/>
      <c r="F86" s="1"/>
      <c r="G86" s="1"/>
      <c r="H86" s="1"/>
    </row>
    <row r="87" spans="1:8" ht="20" customHeight="1">
      <c r="A87" s="1"/>
      <c r="B87" s="1"/>
      <c r="C87" s="1"/>
      <c r="D87" s="1"/>
      <c r="E87" s="1"/>
      <c r="F87" s="1"/>
      <c r="G87" s="1"/>
      <c r="H87" s="1"/>
    </row>
    <row r="88" spans="1:8" ht="20" customHeight="1">
      <c r="A88" s="1"/>
      <c r="B88" s="1"/>
      <c r="C88" s="1"/>
      <c r="D88" s="1"/>
      <c r="E88" s="1"/>
      <c r="F88" s="1"/>
      <c r="G88" s="1"/>
      <c r="H88" s="1"/>
    </row>
    <row r="89" spans="1:8" ht="20" customHeight="1">
      <c r="A89" s="1"/>
      <c r="B89" s="1"/>
      <c r="C89" s="1"/>
      <c r="D89" s="1"/>
      <c r="E89" s="1"/>
      <c r="F89" s="1"/>
      <c r="G89" s="1"/>
      <c r="H89" s="1"/>
    </row>
    <row r="90" spans="1:8" ht="20" customHeight="1">
      <c r="A90" s="1"/>
      <c r="B90" s="1"/>
      <c r="C90" s="1"/>
      <c r="D90" s="1"/>
      <c r="E90" s="1"/>
      <c r="F90" s="1"/>
      <c r="G90" s="1"/>
      <c r="H90" s="1"/>
    </row>
    <row r="91" spans="1:8" ht="20" customHeight="1">
      <c r="A91" s="1"/>
      <c r="B91" s="1"/>
      <c r="C91" s="1"/>
      <c r="D91" s="1"/>
      <c r="E91" s="1"/>
      <c r="F91" s="1"/>
      <c r="G91" s="1"/>
      <c r="H91" s="1"/>
    </row>
    <row r="92" spans="1:8" ht="20" customHeight="1">
      <c r="A92" s="1"/>
      <c r="B92" s="1"/>
      <c r="C92" s="1"/>
      <c r="D92" s="1"/>
      <c r="E92" s="1"/>
      <c r="F92" s="1"/>
      <c r="G92" s="1"/>
      <c r="H92" s="1"/>
    </row>
    <row r="93" spans="1:8" ht="20" customHeight="1">
      <c r="A93" s="1"/>
      <c r="B93" s="1"/>
      <c r="C93" s="1"/>
      <c r="D93" s="1"/>
      <c r="E93" s="1"/>
      <c r="F93" s="1"/>
      <c r="G93" s="1"/>
      <c r="H93" s="1"/>
    </row>
    <row r="94" spans="1:8" ht="20" customHeight="1">
      <c r="A94" s="1"/>
      <c r="B94" s="1"/>
      <c r="C94" s="1"/>
      <c r="D94" s="1"/>
      <c r="E94" s="1"/>
      <c r="F94" s="1"/>
      <c r="G94" s="1"/>
      <c r="H94" s="1"/>
    </row>
    <row r="95" spans="1:8" ht="20" customHeight="1">
      <c r="A95" s="1"/>
      <c r="B95" s="1"/>
      <c r="C95" s="1"/>
      <c r="D95" s="1"/>
      <c r="E95" s="1"/>
      <c r="F95" s="1"/>
      <c r="G95" s="1"/>
      <c r="H95" s="1"/>
    </row>
    <row r="96" spans="1:8" ht="20" customHeight="1">
      <c r="A96" s="1"/>
      <c r="B96" s="1"/>
      <c r="C96" s="1"/>
      <c r="D96" s="1"/>
      <c r="E96" s="1"/>
      <c r="F96" s="1"/>
      <c r="G96" s="1"/>
      <c r="H96" s="1"/>
    </row>
    <row r="97" spans="1:8" ht="20" customHeight="1">
      <c r="A97" s="1"/>
      <c r="B97" s="1"/>
      <c r="C97" s="1"/>
      <c r="D97" s="1"/>
      <c r="E97" s="1"/>
      <c r="F97" s="1"/>
      <c r="G97" s="1"/>
      <c r="H97" s="1"/>
    </row>
    <row r="98" spans="1:8" ht="20" customHeight="1">
      <c r="A98" s="1"/>
      <c r="B98" s="1"/>
      <c r="C98" s="1"/>
      <c r="D98" s="1"/>
      <c r="E98" s="1"/>
      <c r="F98" s="1"/>
      <c r="G98" s="1"/>
      <c r="H98" s="1"/>
    </row>
    <row r="99" spans="1:8" ht="20" customHeight="1">
      <c r="A99" s="1"/>
      <c r="B99" s="1"/>
      <c r="C99" s="1"/>
      <c r="D99" s="1"/>
      <c r="E99" s="1"/>
      <c r="F99" s="1"/>
      <c r="G99" s="1"/>
      <c r="H99" s="1"/>
    </row>
    <row r="100" spans="1:8" ht="20" customHeight="1">
      <c r="A100" s="1"/>
      <c r="B100" s="1"/>
      <c r="C100" s="1"/>
      <c r="D100" s="1"/>
      <c r="E100" s="1"/>
      <c r="F100" s="1"/>
      <c r="G100" s="1"/>
      <c r="H100" s="1"/>
    </row>
    <row r="101" spans="1:8" ht="20" customHeight="1">
      <c r="A101" s="1"/>
      <c r="B101" s="1"/>
      <c r="C101" s="1"/>
      <c r="D101" s="1"/>
      <c r="E101" s="1"/>
      <c r="F101" s="1"/>
      <c r="G101" s="1"/>
      <c r="H101" s="1"/>
    </row>
    <row r="102" spans="1:8" ht="20" customHeight="1">
      <c r="A102" s="1"/>
      <c r="B102" s="1"/>
      <c r="C102" s="1"/>
      <c r="D102" s="1"/>
      <c r="E102" s="1"/>
      <c r="F102" s="1"/>
      <c r="G102" s="1"/>
      <c r="H102" s="1"/>
    </row>
    <row r="103" spans="1:8" ht="20" customHeight="1">
      <c r="A103" s="1"/>
      <c r="B103" s="1"/>
      <c r="C103" s="1"/>
      <c r="D103" s="1"/>
      <c r="E103" s="1"/>
      <c r="F103" s="1"/>
      <c r="G103" s="1"/>
      <c r="H103" s="1"/>
    </row>
    <row r="104" spans="1:8" ht="20" customHeight="1">
      <c r="A104" s="1"/>
      <c r="B104" s="1"/>
      <c r="C104" s="1"/>
      <c r="D104" s="1"/>
      <c r="E104" s="1"/>
      <c r="F104" s="1"/>
      <c r="G104" s="1"/>
      <c r="H104" s="1"/>
    </row>
    <row r="105" spans="1:8" ht="20" customHeight="1">
      <c r="A105" s="1"/>
      <c r="B105" s="1"/>
      <c r="C105" s="1"/>
      <c r="D105" s="1"/>
      <c r="E105" s="1"/>
      <c r="F105" s="1"/>
      <c r="G105" s="1"/>
      <c r="H105" s="1"/>
    </row>
    <row r="106" spans="1:8" ht="20" customHeight="1">
      <c r="A106" s="1"/>
      <c r="B106" s="1"/>
      <c r="C106" s="1"/>
      <c r="D106" s="1"/>
      <c r="E106" s="1"/>
      <c r="F106" s="1"/>
      <c r="G106" s="1"/>
      <c r="H106" s="1"/>
    </row>
    <row r="107" spans="1:8" ht="20" customHeight="1">
      <c r="A107" s="1"/>
      <c r="B107" s="1"/>
      <c r="C107" s="1"/>
      <c r="D107" s="1"/>
      <c r="E107" s="1"/>
      <c r="F107" s="1"/>
      <c r="G107" s="1"/>
      <c r="H107" s="1"/>
    </row>
    <row r="108" spans="1:8" ht="20" customHeight="1">
      <c r="A108" s="1"/>
      <c r="B108" s="1"/>
      <c r="C108" s="1"/>
      <c r="D108" s="1"/>
      <c r="E108" s="1"/>
      <c r="F108" s="1"/>
      <c r="G108" s="1"/>
      <c r="H108" s="1"/>
    </row>
    <row r="109" spans="1:8" ht="20" customHeight="1">
      <c r="A109" s="1"/>
      <c r="B109" s="1"/>
      <c r="C109" s="1"/>
      <c r="D109" s="1"/>
      <c r="E109" s="1"/>
      <c r="F109" s="1"/>
      <c r="G109" s="1"/>
      <c r="H109" s="1"/>
    </row>
    <row r="110" spans="1:8" ht="20" customHeight="1">
      <c r="A110" s="1"/>
      <c r="B110" s="1"/>
      <c r="C110" s="1"/>
      <c r="D110" s="1"/>
      <c r="E110" s="1"/>
      <c r="F110" s="1"/>
      <c r="G110" s="1"/>
      <c r="H110" s="1"/>
    </row>
    <row r="111" spans="1:8" ht="20" customHeight="1">
      <c r="A111" s="1"/>
      <c r="B111" s="1"/>
      <c r="C111" s="1"/>
      <c r="D111" s="1"/>
      <c r="E111" s="1"/>
      <c r="F111" s="1"/>
      <c r="G111" s="1"/>
      <c r="H111" s="1"/>
    </row>
    <row r="112" spans="1:8" ht="20" customHeight="1">
      <c r="A112" s="1"/>
      <c r="B112" s="1"/>
      <c r="C112" s="1"/>
      <c r="D112" s="1"/>
      <c r="E112" s="1"/>
      <c r="F112" s="1"/>
      <c r="G112" s="1"/>
      <c r="H112" s="1"/>
    </row>
    <row r="113" spans="1:8" ht="20" customHeight="1">
      <c r="A113" s="1"/>
      <c r="B113" s="1"/>
      <c r="C113" s="1"/>
      <c r="D113" s="1"/>
      <c r="E113" s="1"/>
      <c r="F113" s="1"/>
      <c r="G113" s="1"/>
      <c r="H113" s="1"/>
    </row>
    <row r="114" spans="1:8" ht="20" customHeight="1">
      <c r="A114" s="1"/>
      <c r="B114" s="1"/>
      <c r="C114" s="1"/>
      <c r="D114" s="1"/>
      <c r="E114" s="1"/>
      <c r="F114" s="1"/>
      <c r="G114" s="1"/>
      <c r="H114" s="1"/>
    </row>
    <row r="115" spans="1:8" ht="20" customHeight="1">
      <c r="A115" s="1"/>
      <c r="B115" s="1"/>
      <c r="C115" s="1"/>
      <c r="D115" s="1"/>
      <c r="E115" s="1"/>
      <c r="F115" s="1"/>
      <c r="G115" s="1"/>
      <c r="H115" s="1"/>
    </row>
    <row r="116" spans="1:8" ht="20" customHeight="1">
      <c r="A116" s="1"/>
      <c r="B116" s="1"/>
      <c r="C116" s="1"/>
      <c r="D116" s="1"/>
      <c r="E116" s="1"/>
      <c r="F116" s="1"/>
      <c r="G116" s="1"/>
      <c r="H116" s="1"/>
    </row>
    <row r="117" spans="1:8" ht="20" customHeight="1">
      <c r="A117" s="1"/>
      <c r="B117" s="1"/>
      <c r="C117" s="1"/>
      <c r="D117" s="1"/>
      <c r="E117" s="1"/>
      <c r="F117" s="1"/>
      <c r="G117" s="1"/>
      <c r="H117" s="1"/>
    </row>
    <row r="118" spans="1:8" ht="20" customHeight="1">
      <c r="A118" s="1"/>
      <c r="B118" s="1"/>
      <c r="C118" s="1"/>
      <c r="D118" s="1"/>
      <c r="E118" s="1"/>
      <c r="F118" s="1"/>
      <c r="G118" s="1"/>
      <c r="H118" s="1"/>
    </row>
    <row r="119" spans="1:8" ht="20" customHeight="1">
      <c r="A119" s="1"/>
      <c r="B119" s="1"/>
      <c r="C119" s="1"/>
      <c r="D119" s="1"/>
      <c r="E119" s="1"/>
      <c r="F119" s="1"/>
      <c r="G119" s="1"/>
      <c r="H119" s="1"/>
    </row>
    <row r="120" spans="1:8" ht="20" customHeight="1">
      <c r="A120" s="1"/>
      <c r="B120" s="1"/>
      <c r="C120" s="1"/>
      <c r="D120" s="1"/>
      <c r="E120" s="1"/>
      <c r="F120" s="1"/>
      <c r="G120" s="1"/>
      <c r="H120" s="1"/>
    </row>
  </sheetData>
  <mergeCells count="1">
    <mergeCell ref="A1:B1"/>
  </mergeCells>
  <dataValidations count="1">
    <dataValidation type="list" sqref="B9:B14" xr:uid="{00000000-0002-0000-0400-000000000000}">
      <formula1>"TAK,NIE"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Instrukcja</vt:lpstr>
      <vt:lpstr>Formularz</vt:lpstr>
      <vt:lpstr>Wyniki</vt:lpstr>
      <vt:lpstr>Rekomendacje</vt:lpstr>
      <vt:lpstr>Wycena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Majka Jakub</cp:lastModifiedBy>
  <dcterms:created xsi:type="dcterms:W3CDTF">2026-07-08T09:34:08Z</dcterms:created>
  <dcterms:modified xsi:type="dcterms:W3CDTF">2026-07-08T09:34:08Z</dcterms:modified>
</cp:coreProperties>
</file>